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14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U30" i="1" l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29" i="1"/>
  <c r="R46" i="1"/>
  <c r="Q46" i="1"/>
  <c r="P46" i="1"/>
  <c r="O46" i="1"/>
  <c r="N46" i="1"/>
  <c r="M46" i="1"/>
  <c r="L46" i="1"/>
  <c r="K46" i="1"/>
  <c r="H46" i="1"/>
  <c r="G46" i="1"/>
  <c r="D46" i="1"/>
  <c r="C46" i="1"/>
  <c r="N22" i="1"/>
  <c r="M22" i="1"/>
  <c r="L22" i="1"/>
  <c r="K22" i="1"/>
  <c r="J22" i="1"/>
  <c r="I22" i="1"/>
  <c r="H22" i="1"/>
  <c r="G22" i="1"/>
  <c r="F22" i="1"/>
  <c r="E22" i="1"/>
  <c r="D22" i="1"/>
  <c r="C22" i="1"/>
</calcChain>
</file>

<file path=xl/sharedStrings.xml><?xml version="1.0" encoding="utf-8"?>
<sst xmlns="http://schemas.openxmlformats.org/spreadsheetml/2006/main" count="469" uniqueCount="71">
  <si>
    <t>Nephila Clavipes</t>
  </si>
  <si>
    <t>Sample 1</t>
  </si>
  <si>
    <t>Sample 2</t>
  </si>
  <si>
    <t>Nephila Clavipes Major Ampullate Silk</t>
  </si>
  <si>
    <t>Nephila Clavipes Minor Ampullate Silk</t>
  </si>
  <si>
    <t>Nephila Clavipes EggCase Silk</t>
  </si>
  <si>
    <t>Column1</t>
  </si>
  <si>
    <t>Name</t>
  </si>
  <si>
    <t>%</t>
  </si>
  <si>
    <t>His</t>
  </si>
  <si>
    <t>Ser</t>
  </si>
  <si>
    <t>Arg</t>
  </si>
  <si>
    <t>Gly</t>
  </si>
  <si>
    <t>Asp</t>
  </si>
  <si>
    <t>Glu</t>
  </si>
  <si>
    <t>Thr</t>
  </si>
  <si>
    <t>Ala</t>
  </si>
  <si>
    <t>Pro</t>
  </si>
  <si>
    <t>Cys</t>
  </si>
  <si>
    <t>Lys</t>
  </si>
  <si>
    <t>Tyr</t>
  </si>
  <si>
    <t>Met</t>
  </si>
  <si>
    <t>Val</t>
  </si>
  <si>
    <t>Ile</t>
  </si>
  <si>
    <t>Leu</t>
  </si>
  <si>
    <t>Phe</t>
  </si>
  <si>
    <t>Tarantulas</t>
  </si>
  <si>
    <t>Costa Rican White Knee Major Ampullate Silk</t>
  </si>
  <si>
    <t>Cyriopagopus sp. "Thai Black" Major Ampullate Silk</t>
  </si>
  <si>
    <t>Chilean Rose Major Ampullate Silk</t>
  </si>
  <si>
    <t>Indian Ornamental Major Ampullate Silk</t>
  </si>
  <si>
    <t>Black Widow</t>
  </si>
  <si>
    <t>Black Widow Major Ampullate Silk</t>
  </si>
  <si>
    <t>Black Widow Minor Ampullate Silk</t>
  </si>
  <si>
    <t xml:space="preserve">Black Widow Outer EggCase Silk </t>
  </si>
  <si>
    <t xml:space="preserve">Black Widow Inner EggCase Silk </t>
  </si>
  <si>
    <t>Black Widow Pray Wrap Silk</t>
  </si>
  <si>
    <t>Standards</t>
  </si>
  <si>
    <t>Albumin</t>
  </si>
  <si>
    <t>Oxytocin</t>
  </si>
  <si>
    <t>Hemoglobin</t>
  </si>
  <si>
    <t>Collagen</t>
  </si>
  <si>
    <t>Progesteron</t>
  </si>
  <si>
    <t>Trypsin</t>
  </si>
  <si>
    <t>Lyzsome</t>
  </si>
  <si>
    <t>Green Lynx</t>
  </si>
  <si>
    <t>Insulin</t>
  </si>
  <si>
    <t>Green Lynx Inner EggCase Silk</t>
  </si>
  <si>
    <t>Green Lynx EggCase Silk</t>
  </si>
  <si>
    <t>Argiope</t>
  </si>
  <si>
    <t>*maybe mixed with inner</t>
  </si>
  <si>
    <t>AA Major Ampullate Silk</t>
  </si>
  <si>
    <t>AA Outer EggCase Silk</t>
  </si>
  <si>
    <t>AA Inner EggCase Silk</t>
  </si>
  <si>
    <t>AT Outer EggCase Silk</t>
  </si>
  <si>
    <t>AT Inner EggCase Silk</t>
  </si>
  <si>
    <t>AT Pray Wrap Silk</t>
  </si>
  <si>
    <t>%*</t>
  </si>
  <si>
    <t>Neoscona Domiciliorum</t>
  </si>
  <si>
    <t>*maybe</t>
  </si>
  <si>
    <t>Neoscona Domiciliorum Major Ampullate Silk</t>
  </si>
  <si>
    <t>Neoscona Domiciliorum Minor Ampullate Silk</t>
  </si>
  <si>
    <t>Neoscona Domiciliorum Outer EggCase Silk</t>
  </si>
  <si>
    <t>Neoscona Domiciliorum Inner EggCase Silk*</t>
  </si>
  <si>
    <t>Catface Outer EggCase Silk*</t>
  </si>
  <si>
    <t>Catface Inner EggCase Silk*</t>
  </si>
  <si>
    <t>Bombyx Mori Cacoon Silk</t>
  </si>
  <si>
    <t>Embiid</t>
  </si>
  <si>
    <t>Araneus Diadmatus Silk</t>
  </si>
  <si>
    <t>S. Cynthia EggCase Silk</t>
  </si>
  <si>
    <t>Amino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</si>
</sst>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scheme val="minor"/>
    </font>
    <font>
      <sz val="11"/>
      <color theme="0"/>
      <name val="Calibri"/>
      <scheme val="minor"/>
    </font>
    <font>
      <sz val="11"/>
      <color rgb="FFFFFFFF"/>
      <name val="Calibri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0497A"/>
        <bgColor rgb="FF000000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4" fillId="0" borderId="0" xfId="0" applyFont="1" applyFill="1" applyBorder="1" applyAlignment="1"/>
    <xf numFmtId="0" fontId="5" fillId="4" borderId="7" xfId="0" applyFont="1" applyFill="1" applyBorder="1"/>
    <xf numFmtId="0" fontId="5" fillId="4" borderId="8" xfId="0" applyFont="1" applyFill="1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0" xfId="0" applyFont="1" applyFill="1" applyBorder="1"/>
    <xf numFmtId="0" fontId="0" fillId="5" borderId="7" xfId="0" applyFont="1" applyFill="1" applyBorder="1"/>
    <xf numFmtId="0" fontId="0" fillId="5" borderId="8" xfId="0" applyFont="1" applyFill="1" applyBorder="1"/>
    <xf numFmtId="2" fontId="6" fillId="0" borderId="9" xfId="0" applyNumberFormat="1" applyFont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2" fontId="6" fillId="0" borderId="10" xfId="0" applyNumberFormat="1" applyFont="1" applyBorder="1" applyAlignment="1">
      <alignment horizontal="center"/>
    </xf>
    <xf numFmtId="2" fontId="6" fillId="0" borderId="9" xfId="0" applyNumberFormat="1" applyFont="1" applyBorder="1"/>
    <xf numFmtId="2" fontId="6" fillId="0" borderId="0" xfId="0" applyNumberFormat="1" applyFont="1" applyBorder="1"/>
    <xf numFmtId="2" fontId="6" fillId="0" borderId="10" xfId="0" applyNumberFormat="1" applyFont="1" applyBorder="1"/>
    <xf numFmtId="0" fontId="6" fillId="0" borderId="0" xfId="0" applyFont="1" applyBorder="1"/>
    <xf numFmtId="2" fontId="6" fillId="0" borderId="0" xfId="0" applyNumberFormat="1" applyFont="1" applyFill="1" applyBorder="1"/>
    <xf numFmtId="0" fontId="0" fillId="0" borderId="7" xfId="0" applyFont="1" applyBorder="1"/>
    <xf numFmtId="0" fontId="7" fillId="0" borderId="8" xfId="0" applyFont="1" applyBorder="1"/>
    <xf numFmtId="0" fontId="7" fillId="5" borderId="8" xfId="0" applyFont="1" applyFill="1" applyBorder="1"/>
    <xf numFmtId="0" fontId="0" fillId="0" borderId="8" xfId="0" applyFont="1" applyBorder="1"/>
    <xf numFmtId="0" fontId="0" fillId="6" borderId="8" xfId="0" applyFont="1" applyFill="1" applyBorder="1"/>
    <xf numFmtId="0" fontId="0" fillId="7" borderId="8" xfId="0" applyFont="1" applyFill="1" applyBorder="1"/>
    <xf numFmtId="2" fontId="6" fillId="0" borderId="11" xfId="0" applyNumberFormat="1" applyFont="1" applyBorder="1" applyAlignment="1">
      <alignment horizontal="center"/>
    </xf>
    <xf numFmtId="2" fontId="6" fillId="0" borderId="12" xfId="0" applyNumberFormat="1" applyFont="1" applyBorder="1" applyAlignment="1">
      <alignment horizontal="center"/>
    </xf>
    <xf numFmtId="2" fontId="6" fillId="0" borderId="13" xfId="0" applyNumberFormat="1" applyFont="1" applyBorder="1" applyAlignment="1">
      <alignment horizontal="center"/>
    </xf>
    <xf numFmtId="2" fontId="6" fillId="0" borderId="11" xfId="0" applyNumberFormat="1" applyFont="1" applyBorder="1"/>
    <xf numFmtId="2" fontId="6" fillId="0" borderId="12" xfId="0" applyNumberFormat="1" applyFont="1" applyBorder="1"/>
    <xf numFmtId="2" fontId="6" fillId="0" borderId="13" xfId="0" applyNumberFormat="1" applyFont="1" applyBorder="1"/>
    <xf numFmtId="2" fontId="0" fillId="0" borderId="0" xfId="0" applyNumberFormat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0" fillId="0" borderId="12" xfId="0" applyBorder="1"/>
    <xf numFmtId="0" fontId="0" fillId="0" borderId="13" xfId="0" applyBorder="1"/>
    <xf numFmtId="0" fontId="6" fillId="0" borderId="13" xfId="0" applyFont="1" applyBorder="1"/>
    <xf numFmtId="0" fontId="0" fillId="0" borderId="0" xfId="0" applyFill="1" applyBorder="1"/>
    <xf numFmtId="164" fontId="6" fillId="0" borderId="0" xfId="0" applyNumberFormat="1" applyFont="1" applyBorder="1"/>
    <xf numFmtId="164" fontId="6" fillId="0" borderId="12" xfId="0" applyNumberFormat="1" applyFont="1" applyBorder="1"/>
    <xf numFmtId="2" fontId="0" fillId="0" borderId="0" xfId="0" applyNumberForma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0" fontId="3" fillId="0" borderId="3" xfId="0" applyFont="1" applyFill="1" applyBorder="1" applyAlignment="1"/>
    <xf numFmtId="0" fontId="3" fillId="3" borderId="14" xfId="0" applyFont="1" applyFill="1" applyBorder="1" applyAlignment="1"/>
    <xf numFmtId="0" fontId="5" fillId="4" borderId="16" xfId="0" applyFont="1" applyFill="1" applyBorder="1"/>
    <xf numFmtId="9" fontId="0" fillId="0" borderId="17" xfId="1" applyFont="1" applyBorder="1"/>
    <xf numFmtId="0" fontId="8" fillId="5" borderId="15" xfId="0" applyFont="1" applyFill="1" applyBorder="1"/>
    <xf numFmtId="2" fontId="8" fillId="0" borderId="8" xfId="0" applyNumberFormat="1" applyFont="1" applyBorder="1"/>
    <xf numFmtId="0" fontId="11" fillId="0" borderId="15" xfId="0" applyFont="1" applyBorder="1"/>
    <xf numFmtId="0" fontId="11" fillId="5" borderId="15" xfId="0" applyFont="1" applyFill="1" applyBorder="1"/>
    <xf numFmtId="0" fontId="8" fillId="0" borderId="15" xfId="0" applyFont="1" applyBorder="1"/>
    <xf numFmtId="0" fontId="8" fillId="6" borderId="15" xfId="0" applyFont="1" applyFill="1" applyBorder="1"/>
    <xf numFmtId="0" fontId="8" fillId="7" borderId="15" xfId="0" applyFont="1" applyFill="1" applyBorder="1"/>
    <xf numFmtId="0" fontId="8" fillId="5" borderId="18" xfId="0" applyFont="1" applyFill="1" applyBorder="1"/>
    <xf numFmtId="2" fontId="8" fillId="0" borderId="19" xfId="0" applyNumberFormat="1" applyFont="1" applyBorder="1"/>
  </cellXfs>
  <cellStyles count="10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Normal" xfId="0" builtinId="0"/>
    <cellStyle name="Percent" xfId="1" builtinId="5"/>
  </cellStyles>
  <dxfs count="5">
    <dxf>
      <numFmt numFmtId="2" formatCode="0.0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T28:U45" totalsRowShown="0" headerRowBorderDxfId="3" tableBorderDxfId="4" totalsRowBorderDxfId="2">
  <autoFilter ref="T28:U45"/>
  <tableColumns count="2">
    <tableColumn id="1" name="Amino Acid" dataDxfId="1"/>
    <tableColumn id="2" name="%" dataDxfId="0">
      <calculatedColumnFormula>AVERAGE(K29:N29)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94"/>
  <sheetViews>
    <sheetView tabSelected="1" topLeftCell="H26" workbookViewId="0">
      <selection activeCell="U45" sqref="T27:U45"/>
    </sheetView>
  </sheetViews>
  <sheetFormatPr baseColWidth="10" defaultRowHeight="15" x14ac:dyDescent="0"/>
  <cols>
    <col min="20" max="20" width="12.5" customWidth="1"/>
    <col min="21" max="21" width="17" customWidth="1"/>
  </cols>
  <sheetData>
    <row r="1" spans="1:22" ht="26" thickBot="1">
      <c r="A1" s="1" t="s">
        <v>0</v>
      </c>
    </row>
    <row r="2" spans="1:22" ht="16" thickBot="1">
      <c r="C2" s="46" t="s">
        <v>1</v>
      </c>
      <c r="D2" s="47"/>
      <c r="E2" s="47" t="s">
        <v>2</v>
      </c>
      <c r="F2" s="48"/>
      <c r="G2" s="46" t="s">
        <v>1</v>
      </c>
      <c r="H2" s="47"/>
      <c r="I2" s="47" t="s">
        <v>2</v>
      </c>
      <c r="J2" s="48"/>
      <c r="K2" s="46" t="s">
        <v>1</v>
      </c>
      <c r="L2" s="47"/>
      <c r="M2" s="47" t="s">
        <v>2</v>
      </c>
      <c r="N2" s="48"/>
    </row>
    <row r="3" spans="1:22" ht="16" thickBot="1">
      <c r="C3" s="49" t="s">
        <v>3</v>
      </c>
      <c r="D3" s="50"/>
      <c r="E3" s="50"/>
      <c r="F3" s="51"/>
      <c r="G3" s="49" t="s">
        <v>4</v>
      </c>
      <c r="H3" s="50"/>
      <c r="I3" s="50"/>
      <c r="J3" s="51"/>
      <c r="K3" s="49" t="s">
        <v>5</v>
      </c>
      <c r="L3" s="50"/>
      <c r="M3" s="50"/>
      <c r="N3" s="51"/>
      <c r="O3" s="2"/>
      <c r="P3" s="2"/>
      <c r="Q3" s="2"/>
      <c r="R3" s="2"/>
      <c r="S3" s="2"/>
      <c r="T3" s="2"/>
      <c r="U3" s="2"/>
      <c r="V3" s="2"/>
    </row>
    <row r="4" spans="1:22">
      <c r="A4" s="3" t="s">
        <v>6</v>
      </c>
      <c r="B4" s="4" t="s">
        <v>7</v>
      </c>
      <c r="C4" s="5" t="s">
        <v>8</v>
      </c>
      <c r="D4" s="6" t="s">
        <v>8</v>
      </c>
      <c r="E4" s="6" t="s">
        <v>8</v>
      </c>
      <c r="F4" s="7" t="s">
        <v>8</v>
      </c>
      <c r="G4" s="5" t="s">
        <v>8</v>
      </c>
      <c r="H4" s="6" t="s">
        <v>8</v>
      </c>
      <c r="I4" s="6" t="s">
        <v>8</v>
      </c>
      <c r="J4" s="7" t="s">
        <v>8</v>
      </c>
      <c r="K4" s="8" t="s">
        <v>8</v>
      </c>
      <c r="L4" s="9" t="s">
        <v>8</v>
      </c>
      <c r="M4" s="9" t="s">
        <v>8</v>
      </c>
      <c r="N4" s="10" t="s">
        <v>8</v>
      </c>
      <c r="O4" s="11"/>
      <c r="P4" s="11"/>
      <c r="Q4" s="11"/>
      <c r="R4" s="11"/>
      <c r="S4" s="11"/>
      <c r="T4" s="11"/>
      <c r="U4" s="11"/>
      <c r="V4" s="11"/>
    </row>
    <row r="5" spans="1:22">
      <c r="A5" s="12">
        <v>1</v>
      </c>
      <c r="B5" s="13" t="s">
        <v>9</v>
      </c>
      <c r="C5" s="14">
        <v>3.0097157356599843E-2</v>
      </c>
      <c r="D5" s="15">
        <v>2.9536464924759233E-2</v>
      </c>
      <c r="E5" s="15">
        <v>4.6690486339618323E-2</v>
      </c>
      <c r="F5" s="16">
        <v>4.7604012504638728E-2</v>
      </c>
      <c r="G5" s="17">
        <v>0.15885681630042575</v>
      </c>
      <c r="H5" s="18">
        <v>8.3145939235015065E-2</v>
      </c>
      <c r="I5" s="18">
        <v>0</v>
      </c>
      <c r="J5" s="19">
        <v>0</v>
      </c>
      <c r="K5" s="17">
        <v>0</v>
      </c>
      <c r="L5" s="20">
        <v>0</v>
      </c>
      <c r="M5" s="18">
        <v>0</v>
      </c>
      <c r="N5" s="19">
        <v>0</v>
      </c>
      <c r="O5" s="21"/>
      <c r="P5" s="21"/>
      <c r="Q5" s="21"/>
      <c r="R5" s="21"/>
      <c r="S5" s="11"/>
      <c r="T5" s="21"/>
      <c r="U5" s="11"/>
      <c r="V5" s="11"/>
    </row>
    <row r="6" spans="1:22">
      <c r="A6" s="22">
        <v>2</v>
      </c>
      <c r="B6" s="23" t="s">
        <v>10</v>
      </c>
      <c r="C6" s="14">
        <v>2.7400954771651267</v>
      </c>
      <c r="D6" s="15">
        <v>2.7388391942050205</v>
      </c>
      <c r="E6" s="15">
        <v>2.9650235802496798</v>
      </c>
      <c r="F6" s="16">
        <v>2.9906993973830636</v>
      </c>
      <c r="G6" s="17">
        <v>5.0837871495522116</v>
      </c>
      <c r="H6" s="18">
        <v>4.9728032459309892</v>
      </c>
      <c r="I6" s="18">
        <v>4.4068991694684261</v>
      </c>
      <c r="J6" s="19">
        <v>4.3834090938159358</v>
      </c>
      <c r="K6" s="17">
        <v>24.355857686481695</v>
      </c>
      <c r="L6" s="18">
        <v>24.459211189142742</v>
      </c>
      <c r="M6" s="18">
        <v>23.761046790436392</v>
      </c>
      <c r="N6" s="19">
        <v>27.721913451344491</v>
      </c>
      <c r="O6" s="21"/>
      <c r="P6" s="21"/>
      <c r="Q6" s="21"/>
      <c r="R6" s="21"/>
      <c r="S6" s="11"/>
      <c r="T6" s="21"/>
      <c r="U6" s="11"/>
      <c r="V6" s="11"/>
    </row>
    <row r="7" spans="1:22">
      <c r="A7" s="12">
        <v>3</v>
      </c>
      <c r="B7" s="24" t="s">
        <v>11</v>
      </c>
      <c r="C7" s="14">
        <v>1.694501672352914</v>
      </c>
      <c r="D7" s="15">
        <v>1.7008462246689535</v>
      </c>
      <c r="E7" s="15">
        <v>1.0021657807991577</v>
      </c>
      <c r="F7" s="16">
        <v>1.0451225812922655</v>
      </c>
      <c r="G7" s="17">
        <v>1.2936371499804205</v>
      </c>
      <c r="H7" s="18">
        <v>1.237482798424324</v>
      </c>
      <c r="I7" s="18">
        <v>2.20829537395606</v>
      </c>
      <c r="J7" s="19">
        <v>2.1372195100562061</v>
      </c>
      <c r="K7" s="17">
        <v>4.0403443307348432</v>
      </c>
      <c r="L7" s="18">
        <v>4.0448039825762292</v>
      </c>
      <c r="M7" s="18">
        <v>3.2910872097006236</v>
      </c>
      <c r="N7" s="19">
        <v>3.8985446718283163</v>
      </c>
      <c r="O7" s="21"/>
      <c r="P7" s="21"/>
      <c r="Q7" s="21"/>
      <c r="R7" s="21"/>
      <c r="S7" s="11"/>
      <c r="T7" s="21"/>
      <c r="U7" s="11"/>
      <c r="V7" s="11"/>
    </row>
    <row r="8" spans="1:22">
      <c r="A8" s="22">
        <v>4</v>
      </c>
      <c r="B8" s="25" t="s">
        <v>12</v>
      </c>
      <c r="C8" s="14">
        <v>48.315196583827984</v>
      </c>
      <c r="D8" s="15">
        <v>48.307304842192131</v>
      </c>
      <c r="E8" s="15">
        <v>54.676008378050625</v>
      </c>
      <c r="F8" s="16">
        <v>54.143479655703821</v>
      </c>
      <c r="G8" s="17">
        <v>46.847669508189668</v>
      </c>
      <c r="H8" s="18">
        <v>46.767297683949117</v>
      </c>
      <c r="I8" s="18">
        <v>35.301574481156514</v>
      </c>
      <c r="J8" s="19">
        <v>35.334425189284516</v>
      </c>
      <c r="K8" s="17">
        <v>5.7730816122954147</v>
      </c>
      <c r="L8" s="18">
        <v>5.8219989925030369</v>
      </c>
      <c r="M8" s="18">
        <v>4.0323354113859011</v>
      </c>
      <c r="N8" s="19">
        <v>4.7450766215825491</v>
      </c>
      <c r="O8" s="21"/>
      <c r="P8" s="21"/>
      <c r="Q8" s="21"/>
      <c r="R8" s="21"/>
      <c r="S8" s="11"/>
      <c r="T8" s="21"/>
      <c r="U8" s="11"/>
      <c r="V8" s="11"/>
    </row>
    <row r="9" spans="1:22">
      <c r="A9" s="12">
        <v>5</v>
      </c>
      <c r="B9" s="13" t="s">
        <v>13</v>
      </c>
      <c r="C9" s="14">
        <v>0.71841531478073406</v>
      </c>
      <c r="D9" s="15">
        <v>0.71799451504373157</v>
      </c>
      <c r="E9" s="15">
        <v>0.54906216147455011</v>
      </c>
      <c r="F9" s="16">
        <v>0.55363384040273511</v>
      </c>
      <c r="G9" s="17">
        <v>4.4594112999850534E-2</v>
      </c>
      <c r="H9" s="18">
        <v>5.5193405217347127E-2</v>
      </c>
      <c r="I9" s="18">
        <v>2.2685216114275888</v>
      </c>
      <c r="J9" s="19">
        <v>2.2855594168397126</v>
      </c>
      <c r="K9" s="17">
        <v>2.9319835962611296</v>
      </c>
      <c r="L9" s="18">
        <v>2.7646901946839719</v>
      </c>
      <c r="M9" s="18">
        <v>2.2045625813523326</v>
      </c>
      <c r="N9" s="19">
        <v>2.6134866835865971</v>
      </c>
      <c r="O9" s="21"/>
      <c r="P9" s="21"/>
      <c r="Q9" s="21"/>
      <c r="R9" s="21"/>
      <c r="S9" s="11"/>
      <c r="T9" s="21"/>
      <c r="U9" s="11"/>
      <c r="V9" s="11"/>
    </row>
    <row r="10" spans="1:22">
      <c r="A10" s="22">
        <v>6</v>
      </c>
      <c r="B10" s="25" t="s">
        <v>14</v>
      </c>
      <c r="C10" s="14">
        <v>9.8925993182443293</v>
      </c>
      <c r="D10" s="15">
        <v>9.8862370971731366</v>
      </c>
      <c r="E10" s="15">
        <v>6.1670418729182845</v>
      </c>
      <c r="F10" s="16">
        <v>6.2342487034725256</v>
      </c>
      <c r="G10" s="17">
        <v>1.4783647670281461</v>
      </c>
      <c r="H10" s="18">
        <v>1.4949861280665748</v>
      </c>
      <c r="I10" s="18">
        <v>3.0140808959889296</v>
      </c>
      <c r="J10" s="19">
        <v>3.0342892780929556</v>
      </c>
      <c r="K10" s="17">
        <v>7.9306905087375767</v>
      </c>
      <c r="L10" s="18">
        <v>7.6436423978427701</v>
      </c>
      <c r="M10" s="18">
        <v>5.9299856134822226</v>
      </c>
      <c r="N10" s="19">
        <v>6.9842901660937455</v>
      </c>
      <c r="O10" s="21"/>
      <c r="P10" s="21"/>
      <c r="Q10" s="21"/>
      <c r="R10" s="21"/>
      <c r="S10" s="11"/>
      <c r="T10" s="21"/>
      <c r="U10" s="11"/>
      <c r="V10" s="11"/>
    </row>
    <row r="11" spans="1:22">
      <c r="A11" s="12">
        <v>7</v>
      </c>
      <c r="B11" s="13" t="s">
        <v>15</v>
      </c>
      <c r="C11" s="14">
        <v>0.46703806698621908</v>
      </c>
      <c r="D11" s="15">
        <v>0.46675303031859222</v>
      </c>
      <c r="E11" s="15">
        <v>0.49237240139961141</v>
      </c>
      <c r="F11" s="16">
        <v>0.49823333018286525</v>
      </c>
      <c r="G11" s="17">
        <v>1.9285011620126999</v>
      </c>
      <c r="H11" s="18">
        <v>1.9436895348084602</v>
      </c>
      <c r="I11" s="18">
        <v>3.3567474195338356</v>
      </c>
      <c r="J11" s="19">
        <v>3.3555752373349574</v>
      </c>
      <c r="K11" s="17">
        <v>11.645915690693464</v>
      </c>
      <c r="L11" s="18">
        <v>12.049959996444128</v>
      </c>
      <c r="M11" s="18">
        <v>16.104679043639102</v>
      </c>
      <c r="N11" s="19">
        <v>18.965849583962477</v>
      </c>
      <c r="O11" s="21"/>
      <c r="P11" s="21"/>
      <c r="Q11" s="21"/>
      <c r="R11" s="21"/>
      <c r="S11" s="11"/>
      <c r="T11" s="21"/>
      <c r="U11" s="11"/>
      <c r="V11" s="11"/>
    </row>
    <row r="12" spans="1:22">
      <c r="A12" s="22">
        <v>8</v>
      </c>
      <c r="B12" s="25" t="s">
        <v>16</v>
      </c>
      <c r="C12" s="14">
        <v>27.008942104439761</v>
      </c>
      <c r="D12" s="15">
        <v>27.005640509347938</v>
      </c>
      <c r="E12" s="15">
        <v>23.050203374573933</v>
      </c>
      <c r="F12" s="16">
        <v>23.302102244054662</v>
      </c>
      <c r="G12" s="17">
        <v>22.578236366605946</v>
      </c>
      <c r="H12" s="18">
        <v>22.70528591334423</v>
      </c>
      <c r="I12" s="18">
        <v>32.056280213725167</v>
      </c>
      <c r="J12" s="19">
        <v>32.072353305514511</v>
      </c>
      <c r="K12" s="17">
        <v>17.728599401485202</v>
      </c>
      <c r="L12" s="18">
        <v>17.81639849468101</v>
      </c>
      <c r="M12" s="18">
        <v>11.525655956703433</v>
      </c>
      <c r="N12" s="19">
        <v>13.571818678317859</v>
      </c>
      <c r="O12" s="21"/>
      <c r="P12" s="21"/>
      <c r="Q12" s="21"/>
      <c r="R12" s="21"/>
      <c r="S12" s="11"/>
      <c r="T12" s="21"/>
      <c r="U12" s="11"/>
      <c r="V12" s="11"/>
    </row>
    <row r="13" spans="1:22">
      <c r="A13" s="12">
        <v>9</v>
      </c>
      <c r="B13" s="13" t="s">
        <v>17</v>
      </c>
      <c r="C13" s="14">
        <v>2.0344316125486652</v>
      </c>
      <c r="D13" s="15">
        <v>2.0341932112461802</v>
      </c>
      <c r="E13" s="15">
        <v>2.1055409484420804</v>
      </c>
      <c r="F13" s="16">
        <v>2.1280519888068028</v>
      </c>
      <c r="G13" s="17">
        <v>0.32843486534297583</v>
      </c>
      <c r="H13" s="18">
        <v>0.33033015801642929</v>
      </c>
      <c r="I13" s="18">
        <v>1.2959024890425532</v>
      </c>
      <c r="J13" s="19">
        <v>1.3034226880408573</v>
      </c>
      <c r="K13" s="17">
        <v>4.6447703846011743</v>
      </c>
      <c r="L13" s="18">
        <v>4.4715085785403144</v>
      </c>
      <c r="M13" s="18">
        <v>4.0679591696924025</v>
      </c>
      <c r="N13" s="19">
        <v>4.5748064381405209</v>
      </c>
      <c r="O13" s="21"/>
      <c r="P13" s="21"/>
      <c r="Q13" s="21"/>
      <c r="R13" s="21"/>
      <c r="S13" s="11"/>
      <c r="T13" s="21"/>
      <c r="U13" s="11"/>
      <c r="V13" s="11"/>
    </row>
    <row r="14" spans="1:22">
      <c r="A14" s="22">
        <v>10</v>
      </c>
      <c r="B14" s="26" t="s">
        <v>18</v>
      </c>
      <c r="C14" s="14">
        <v>3.6682863551184015E-3</v>
      </c>
      <c r="D14" s="15">
        <v>3.603393284000873E-3</v>
      </c>
      <c r="E14" s="15">
        <v>4.2202753238086794E-3</v>
      </c>
      <c r="F14" s="16">
        <v>4.2523957480912764E-3</v>
      </c>
      <c r="G14" s="17">
        <v>5.5540151115537773E-3</v>
      </c>
      <c r="H14" s="18">
        <v>6.5992846419875659E-3</v>
      </c>
      <c r="I14" s="18">
        <v>0</v>
      </c>
      <c r="J14" s="19">
        <v>0</v>
      </c>
      <c r="K14" s="17">
        <v>0</v>
      </c>
      <c r="L14" s="18">
        <v>0</v>
      </c>
      <c r="M14" s="18">
        <v>0</v>
      </c>
      <c r="N14" s="19">
        <v>0</v>
      </c>
      <c r="O14" s="21"/>
      <c r="P14" s="21"/>
      <c r="Q14" s="21"/>
      <c r="R14" s="21"/>
      <c r="S14" s="11"/>
      <c r="T14" s="21"/>
      <c r="U14" s="11"/>
      <c r="V14" s="11"/>
    </row>
    <row r="15" spans="1:22">
      <c r="A15" s="12">
        <v>11</v>
      </c>
      <c r="B15" s="27" t="s">
        <v>19</v>
      </c>
      <c r="C15" s="14">
        <v>0.1657931206953</v>
      </c>
      <c r="D15" s="15">
        <v>0.16575970436653251</v>
      </c>
      <c r="E15" s="15">
        <v>0.1118236552983236</v>
      </c>
      <c r="F15" s="16">
        <v>0.11229799571342342</v>
      </c>
      <c r="G15" s="17">
        <v>5.2245807073765256E-2</v>
      </c>
      <c r="H15" s="18">
        <v>5.270782517433166E-2</v>
      </c>
      <c r="I15" s="18">
        <v>0.40034058975673553</v>
      </c>
      <c r="J15" s="19">
        <v>0.40205566771296203</v>
      </c>
      <c r="K15" s="17">
        <v>0</v>
      </c>
      <c r="L15" s="18">
        <v>0</v>
      </c>
      <c r="M15" s="18">
        <v>10.404877714598891</v>
      </c>
      <c r="N15" s="19">
        <v>0</v>
      </c>
      <c r="O15" s="21"/>
      <c r="P15" s="21"/>
      <c r="Q15" s="21"/>
      <c r="R15" s="21"/>
      <c r="S15" s="11"/>
      <c r="T15" s="21"/>
      <c r="U15" s="11"/>
      <c r="V15" s="11"/>
    </row>
    <row r="16" spans="1:22">
      <c r="A16" s="22">
        <v>12</v>
      </c>
      <c r="B16" s="25" t="s">
        <v>20</v>
      </c>
      <c r="C16" s="14">
        <v>0.71526511726391873</v>
      </c>
      <c r="D16" s="15">
        <v>0.71613647278165338</v>
      </c>
      <c r="E16" s="15">
        <v>1.9669183637807917</v>
      </c>
      <c r="F16" s="16">
        <v>1.9905407447130306</v>
      </c>
      <c r="G16" s="17">
        <v>14.10178115238697</v>
      </c>
      <c r="H16" s="18">
        <v>14.206391088395257</v>
      </c>
      <c r="I16" s="18">
        <v>8.720343832515514</v>
      </c>
      <c r="J16" s="19">
        <v>8.7225271254168923</v>
      </c>
      <c r="K16" s="17">
        <v>2.7346953855248088</v>
      </c>
      <c r="L16" s="18">
        <v>2.7891368121610811</v>
      </c>
      <c r="M16" s="18">
        <v>2.0072617661163252</v>
      </c>
      <c r="N16" s="19">
        <v>2.3869952131589942</v>
      </c>
      <c r="O16" s="21"/>
      <c r="P16" s="21"/>
      <c r="Q16" s="21"/>
      <c r="R16" s="21"/>
      <c r="S16" s="11"/>
      <c r="T16" s="21"/>
      <c r="U16" s="11"/>
      <c r="V16" s="11"/>
    </row>
    <row r="17" spans="1:23">
      <c r="A17" s="12">
        <v>13</v>
      </c>
      <c r="B17" s="13" t="s">
        <v>21</v>
      </c>
      <c r="C17" s="14">
        <v>0.7711385529506759</v>
      </c>
      <c r="D17" s="15">
        <v>0.77095939791676327</v>
      </c>
      <c r="E17" s="15">
        <v>0.79657479644536766</v>
      </c>
      <c r="F17" s="16">
        <v>0.8056380972405498</v>
      </c>
      <c r="G17" s="17">
        <v>1.6316861642497578</v>
      </c>
      <c r="H17" s="18">
        <v>1.6412723739864779</v>
      </c>
      <c r="I17" s="18">
        <v>2.2747519118556778</v>
      </c>
      <c r="J17" s="19">
        <v>2.2750139258361459</v>
      </c>
      <c r="K17" s="17">
        <v>0.41526582184948463</v>
      </c>
      <c r="L17" s="18">
        <v>0.40892523779891543</v>
      </c>
      <c r="M17" s="18">
        <v>0.67274097417277523</v>
      </c>
      <c r="N17" s="19">
        <v>0.75175892312140591</v>
      </c>
      <c r="O17" s="21"/>
      <c r="P17" s="21"/>
      <c r="Q17" s="21"/>
      <c r="R17" s="21"/>
      <c r="S17" s="11"/>
      <c r="T17" s="21"/>
      <c r="U17" s="11"/>
      <c r="V17" s="11"/>
    </row>
    <row r="18" spans="1:23">
      <c r="A18" s="22">
        <v>14</v>
      </c>
      <c r="B18" s="25" t="s">
        <v>22</v>
      </c>
      <c r="C18" s="14"/>
      <c r="D18" s="15">
        <v>1.3755232020060184E-2</v>
      </c>
      <c r="E18" s="15">
        <v>4.6546256068168014E-2</v>
      </c>
      <c r="F18" s="16">
        <v>5.843353031570634E-2</v>
      </c>
      <c r="G18" s="17">
        <v>1.1357238074284263E-2</v>
      </c>
      <c r="H18" s="18">
        <v>1.6334068915701477E-2</v>
      </c>
      <c r="I18" s="18">
        <v>0</v>
      </c>
      <c r="J18" s="19">
        <v>0</v>
      </c>
      <c r="K18" s="17">
        <v>1.7822440610337311</v>
      </c>
      <c r="L18" s="18">
        <v>1.7853438824191781</v>
      </c>
      <c r="M18" s="18">
        <v>5.3832979379324524</v>
      </c>
      <c r="N18" s="19">
        <v>1.4039258521540785</v>
      </c>
      <c r="O18" s="21"/>
      <c r="P18" s="21"/>
      <c r="Q18" s="21"/>
      <c r="R18" s="21"/>
      <c r="S18" s="11"/>
      <c r="T18" s="21"/>
      <c r="U18" s="11"/>
      <c r="V18" s="11"/>
    </row>
    <row r="19" spans="1:23">
      <c r="A19" s="12">
        <v>15</v>
      </c>
      <c r="B19" s="13" t="s">
        <v>23</v>
      </c>
      <c r="C19" s="14">
        <v>0.37515021103965501</v>
      </c>
      <c r="D19" s="15">
        <v>0.37530318013217212</v>
      </c>
      <c r="E19" s="15">
        <v>0.41805126886076094</v>
      </c>
      <c r="F19" s="16">
        <v>0.42334157567491765</v>
      </c>
      <c r="G19" s="17">
        <v>0.83433332410042671</v>
      </c>
      <c r="H19" s="18">
        <v>0.83997957775440424</v>
      </c>
      <c r="I19" s="18">
        <v>1.1152237766279665</v>
      </c>
      <c r="J19" s="19">
        <v>1.1086826208416569</v>
      </c>
      <c r="K19" s="17">
        <v>1.7504710533121515</v>
      </c>
      <c r="L19" s="18">
        <v>1.7646012978931462</v>
      </c>
      <c r="M19" s="18">
        <v>1.2495718298280469</v>
      </c>
      <c r="N19" s="19">
        <v>1.4585408166543516</v>
      </c>
      <c r="O19" s="21"/>
      <c r="P19" s="21"/>
      <c r="Q19" s="21"/>
      <c r="R19" s="21"/>
      <c r="S19" s="11"/>
      <c r="T19" s="21"/>
      <c r="U19" s="11"/>
      <c r="V19" s="11"/>
    </row>
    <row r="20" spans="1:23">
      <c r="A20" s="22">
        <v>16</v>
      </c>
      <c r="B20" s="25" t="s">
        <v>24</v>
      </c>
      <c r="C20" s="14">
        <v>4.7598633074344292</v>
      </c>
      <c r="D20" s="15">
        <v>4.7592150782560534</v>
      </c>
      <c r="E20" s="15">
        <v>5.0681625027687627</v>
      </c>
      <c r="F20" s="16">
        <v>5.1235159125713974</v>
      </c>
      <c r="G20" s="17">
        <v>1.507498551653484</v>
      </c>
      <c r="H20" s="18">
        <v>1.5166325387803981</v>
      </c>
      <c r="I20" s="18">
        <v>2.327363337692876</v>
      </c>
      <c r="J20" s="19">
        <v>2.3291474463211221</v>
      </c>
      <c r="K20" s="17">
        <v>8.0200982746517901</v>
      </c>
      <c r="L20" s="18">
        <v>7.9607076184549737</v>
      </c>
      <c r="M20" s="18">
        <v>5.2065492909501954</v>
      </c>
      <c r="N20" s="19">
        <v>6.0992064766922613</v>
      </c>
      <c r="O20" s="21"/>
      <c r="P20" s="21"/>
      <c r="Q20" s="21"/>
      <c r="R20" s="21"/>
      <c r="S20" s="11"/>
      <c r="T20" s="21"/>
      <c r="U20" s="11"/>
      <c r="V20" s="11"/>
    </row>
    <row r="21" spans="1:23" ht="16" thickBot="1">
      <c r="A21" s="12">
        <v>17</v>
      </c>
      <c r="B21" s="13" t="s">
        <v>25</v>
      </c>
      <c r="C21" s="28">
        <v>0.30780409655855046</v>
      </c>
      <c r="D21" s="29">
        <v>0.30792245212232727</v>
      </c>
      <c r="E21" s="29">
        <v>0.53359389720644235</v>
      </c>
      <c r="F21" s="30">
        <v>0.53880399421953107</v>
      </c>
      <c r="G21" s="31">
        <v>2.1134618493374289</v>
      </c>
      <c r="H21" s="32">
        <v>2.129868435358953</v>
      </c>
      <c r="I21" s="32">
        <v>1.2536748972521707</v>
      </c>
      <c r="J21" s="33">
        <v>1.2563194948915921</v>
      </c>
      <c r="K21" s="31">
        <v>6.2459821923375323</v>
      </c>
      <c r="L21" s="32">
        <v>6.2190713248585059</v>
      </c>
      <c r="M21" s="32">
        <v>4.1583887100089063</v>
      </c>
      <c r="N21" s="33">
        <v>4.8237864233623542</v>
      </c>
      <c r="O21" s="21"/>
      <c r="P21" s="21"/>
      <c r="Q21" s="21"/>
      <c r="R21" s="21"/>
      <c r="S21" s="11"/>
      <c r="T21" s="21"/>
      <c r="U21" s="11"/>
      <c r="V21" s="11"/>
    </row>
    <row r="22" spans="1:23">
      <c r="C22" s="34">
        <f>SUM(C5:C21)</f>
        <v>99.999999999999986</v>
      </c>
      <c r="D22" s="34">
        <f t="shared" ref="D22:N22" si="0">SUM(D5:D21)</f>
        <v>100.00000000000001</v>
      </c>
      <c r="E22" s="34">
        <f t="shared" si="0"/>
        <v>99.999999999999972</v>
      </c>
      <c r="F22" s="34">
        <f t="shared" si="0"/>
        <v>100.00000000000003</v>
      </c>
      <c r="G22" s="34">
        <f t="shared" si="0"/>
        <v>100.00000000000001</v>
      </c>
      <c r="H22" s="34">
        <f t="shared" si="0"/>
        <v>100</v>
      </c>
      <c r="I22" s="34">
        <f t="shared" si="0"/>
        <v>100.00000000000001</v>
      </c>
      <c r="J22" s="34">
        <f t="shared" si="0"/>
        <v>100.00000000000003</v>
      </c>
      <c r="K22" s="34">
        <f t="shared" si="0"/>
        <v>100</v>
      </c>
      <c r="L22" s="34">
        <f t="shared" si="0"/>
        <v>100</v>
      </c>
      <c r="M22" s="34">
        <f t="shared" si="0"/>
        <v>100</v>
      </c>
      <c r="N22" s="34">
        <f t="shared" si="0"/>
        <v>99.999999999999986</v>
      </c>
    </row>
    <row r="25" spans="1:23" ht="26" thickBot="1">
      <c r="A25" s="1" t="s">
        <v>26</v>
      </c>
    </row>
    <row r="26" spans="1:23" ht="16" thickBot="1">
      <c r="C26" s="46" t="s">
        <v>1</v>
      </c>
      <c r="D26" s="47"/>
      <c r="E26" s="47" t="s">
        <v>2</v>
      </c>
      <c r="F26" s="48"/>
      <c r="G26" s="46" t="s">
        <v>1</v>
      </c>
      <c r="H26" s="47"/>
      <c r="I26" s="47" t="s">
        <v>2</v>
      </c>
      <c r="J26" s="48"/>
      <c r="K26" s="46" t="s">
        <v>1</v>
      </c>
      <c r="L26" s="47"/>
      <c r="M26" s="47" t="s">
        <v>2</v>
      </c>
      <c r="N26" s="48"/>
      <c r="O26" s="46" t="s">
        <v>1</v>
      </c>
      <c r="P26" s="47"/>
      <c r="Q26" s="47" t="s">
        <v>2</v>
      </c>
      <c r="R26" s="48"/>
    </row>
    <row r="27" spans="1:23" ht="16" thickBot="1">
      <c r="C27" s="49" t="s">
        <v>27</v>
      </c>
      <c r="D27" s="50"/>
      <c r="E27" s="50"/>
      <c r="F27" s="51"/>
      <c r="G27" s="52" t="s">
        <v>28</v>
      </c>
      <c r="H27" s="53"/>
      <c r="I27" s="53"/>
      <c r="J27" s="54"/>
      <c r="K27" s="58" t="s">
        <v>29</v>
      </c>
      <c r="L27" s="59"/>
      <c r="M27" s="59"/>
      <c r="N27" s="60"/>
      <c r="O27" s="55" t="s">
        <v>30</v>
      </c>
      <c r="P27" s="56"/>
      <c r="Q27" s="56"/>
      <c r="R27" s="57"/>
      <c r="T27" s="63" t="s">
        <v>29</v>
      </c>
      <c r="U27" s="63"/>
      <c r="V27" s="61"/>
      <c r="W27" s="62"/>
    </row>
    <row r="28" spans="1:23">
      <c r="A28" s="3" t="s">
        <v>6</v>
      </c>
      <c r="B28" s="4" t="s">
        <v>7</v>
      </c>
      <c r="C28" s="8" t="s">
        <v>8</v>
      </c>
      <c r="D28" s="9" t="s">
        <v>8</v>
      </c>
      <c r="E28" s="9"/>
      <c r="F28" s="10"/>
      <c r="G28" s="35" t="s">
        <v>8</v>
      </c>
      <c r="H28" s="20" t="s">
        <v>8</v>
      </c>
      <c r="I28" s="6"/>
      <c r="J28" s="7"/>
      <c r="K28" s="8" t="s">
        <v>8</v>
      </c>
      <c r="L28" s="9" t="s">
        <v>8</v>
      </c>
      <c r="M28" s="9" t="s">
        <v>8</v>
      </c>
      <c r="N28" s="10" t="s">
        <v>8</v>
      </c>
      <c r="O28" s="8" t="s">
        <v>8</v>
      </c>
      <c r="P28" s="9" t="s">
        <v>8</v>
      </c>
      <c r="Q28" s="9" t="s">
        <v>8</v>
      </c>
      <c r="R28" s="10" t="s">
        <v>8</v>
      </c>
      <c r="T28" s="64" t="s">
        <v>70</v>
      </c>
      <c r="U28" s="65" t="s">
        <v>8</v>
      </c>
    </row>
    <row r="29" spans="1:23">
      <c r="A29" s="12">
        <v>1</v>
      </c>
      <c r="B29" s="13" t="s">
        <v>9</v>
      </c>
      <c r="C29" s="35">
        <v>0.48</v>
      </c>
      <c r="D29" s="20">
        <v>0.48</v>
      </c>
      <c r="E29" s="15"/>
      <c r="F29" s="16"/>
      <c r="G29" s="17">
        <v>0.35972600362852147</v>
      </c>
      <c r="H29" s="18">
        <v>0.36046582320422216</v>
      </c>
      <c r="I29" s="6"/>
      <c r="J29" s="7"/>
      <c r="K29" s="35">
        <v>0.16</v>
      </c>
      <c r="L29" s="20">
        <v>0.17</v>
      </c>
      <c r="M29" s="20">
        <v>0.24</v>
      </c>
      <c r="N29" s="36">
        <v>0.24</v>
      </c>
      <c r="O29" s="17">
        <v>0.50414568596711307</v>
      </c>
      <c r="P29" s="18">
        <v>0.51130586493885211</v>
      </c>
      <c r="Q29" s="18">
        <v>0.45637967282038461</v>
      </c>
      <c r="R29" s="19">
        <v>0.45369167694097756</v>
      </c>
      <c r="T29" s="66" t="s">
        <v>9</v>
      </c>
      <c r="U29" s="67">
        <f>AVERAGE(K29:N29)</f>
        <v>0.20250000000000001</v>
      </c>
    </row>
    <row r="30" spans="1:23">
      <c r="A30" s="22">
        <v>2</v>
      </c>
      <c r="B30" s="23" t="s">
        <v>10</v>
      </c>
      <c r="C30" s="35">
        <v>16.489999999999998</v>
      </c>
      <c r="D30" s="20">
        <v>16.489999999999998</v>
      </c>
      <c r="E30" s="15"/>
      <c r="F30" s="16"/>
      <c r="G30" s="17">
        <v>12.349722085151367</v>
      </c>
      <c r="H30" s="18">
        <v>12.348617662174746</v>
      </c>
      <c r="I30" s="6"/>
      <c r="J30" s="7"/>
      <c r="K30" s="35">
        <v>14.78</v>
      </c>
      <c r="L30" s="20">
        <v>16.11</v>
      </c>
      <c r="M30" s="20">
        <v>17.02</v>
      </c>
      <c r="N30" s="36">
        <v>17.03</v>
      </c>
      <c r="O30" s="17">
        <v>19.350291776436062</v>
      </c>
      <c r="P30" s="18">
        <v>19.337579038312143</v>
      </c>
      <c r="Q30" s="18">
        <v>18.205665254419014</v>
      </c>
      <c r="R30" s="19">
        <v>18.119232057871322</v>
      </c>
      <c r="T30" s="68" t="s">
        <v>10</v>
      </c>
      <c r="U30" s="67">
        <f t="shared" ref="U30:U45" si="1">AVERAGE(K30:N30)</f>
        <v>16.234999999999999</v>
      </c>
    </row>
    <row r="31" spans="1:23">
      <c r="A31" s="12">
        <v>3</v>
      </c>
      <c r="B31" s="24" t="s">
        <v>11</v>
      </c>
      <c r="C31" s="35">
        <v>2.97</v>
      </c>
      <c r="D31" s="20">
        <v>2.97</v>
      </c>
      <c r="E31" s="15"/>
      <c r="F31" s="16"/>
      <c r="G31" s="17">
        <v>2.7696450086721742</v>
      </c>
      <c r="H31" s="18">
        <v>2.7727373272152405</v>
      </c>
      <c r="I31" s="6"/>
      <c r="J31" s="7"/>
      <c r="K31" s="35">
        <v>4.34</v>
      </c>
      <c r="L31" s="20">
        <v>4.74</v>
      </c>
      <c r="M31" s="20">
        <v>6.22</v>
      </c>
      <c r="N31" s="36">
        <v>6.2</v>
      </c>
      <c r="O31" s="17">
        <v>3.8634054063521628</v>
      </c>
      <c r="P31" s="18">
        <v>3.8602177050741897</v>
      </c>
      <c r="Q31" s="18">
        <v>3.6807217759830166</v>
      </c>
      <c r="R31" s="19">
        <v>3.6699767628744535</v>
      </c>
      <c r="T31" s="69" t="s">
        <v>11</v>
      </c>
      <c r="U31" s="67">
        <f t="shared" si="1"/>
        <v>5.375</v>
      </c>
    </row>
    <row r="32" spans="1:23">
      <c r="A32" s="22">
        <v>4</v>
      </c>
      <c r="B32" s="25" t="s">
        <v>12</v>
      </c>
      <c r="C32" s="35">
        <v>9.4700000000000006</v>
      </c>
      <c r="D32" s="20">
        <v>9.48</v>
      </c>
      <c r="E32" s="15"/>
      <c r="F32" s="16"/>
      <c r="G32" s="17">
        <v>8.685506527147508</v>
      </c>
      <c r="H32" s="18">
        <v>8.6842403870685558</v>
      </c>
      <c r="I32" s="6"/>
      <c r="J32" s="7"/>
      <c r="K32" s="35">
        <v>11.29</v>
      </c>
      <c r="L32" s="20">
        <v>12.3</v>
      </c>
      <c r="M32" s="20">
        <v>14.12</v>
      </c>
      <c r="N32" s="36">
        <v>14.16</v>
      </c>
      <c r="O32" s="17">
        <v>17.848843072631652</v>
      </c>
      <c r="P32" s="18">
        <v>17.836682366681718</v>
      </c>
      <c r="Q32" s="18">
        <v>17.16693621171882</v>
      </c>
      <c r="R32" s="19">
        <v>17.095352615309992</v>
      </c>
      <c r="T32" s="70" t="s">
        <v>12</v>
      </c>
      <c r="U32" s="67">
        <f t="shared" si="1"/>
        <v>12.967500000000001</v>
      </c>
    </row>
    <row r="33" spans="1:21">
      <c r="A33" s="12">
        <v>5</v>
      </c>
      <c r="B33" s="13" t="s">
        <v>13</v>
      </c>
      <c r="C33" s="35">
        <v>0.14000000000000001</v>
      </c>
      <c r="D33" s="20">
        <v>0.14000000000000001</v>
      </c>
      <c r="E33" s="15"/>
      <c r="F33" s="16"/>
      <c r="G33" s="17">
        <v>8.3334569527606117</v>
      </c>
      <c r="H33" s="18">
        <v>8.3253488795865813</v>
      </c>
      <c r="I33" s="6"/>
      <c r="J33" s="7"/>
      <c r="K33" s="35">
        <v>0.04</v>
      </c>
      <c r="L33" s="20">
        <v>0.05</v>
      </c>
      <c r="M33" s="20">
        <v>0.06</v>
      </c>
      <c r="N33" s="36">
        <v>0.06</v>
      </c>
      <c r="O33" s="17">
        <v>3.8539154641775424E-2</v>
      </c>
      <c r="P33" s="18">
        <v>3.746758132049384E-2</v>
      </c>
      <c r="Q33" s="18">
        <v>0.10255722984727744</v>
      </c>
      <c r="R33" s="19">
        <v>0.11314950558363113</v>
      </c>
      <c r="T33" s="66" t="s">
        <v>13</v>
      </c>
      <c r="U33" s="67">
        <f t="shared" si="1"/>
        <v>5.2499999999999998E-2</v>
      </c>
    </row>
    <row r="34" spans="1:21">
      <c r="A34" s="22">
        <v>6</v>
      </c>
      <c r="B34" s="25" t="s">
        <v>14</v>
      </c>
      <c r="C34" s="35">
        <v>7.06</v>
      </c>
      <c r="D34" s="20">
        <v>7.06</v>
      </c>
      <c r="E34" s="15"/>
      <c r="F34" s="16"/>
      <c r="G34" s="17">
        <v>6.5609481174541013</v>
      </c>
      <c r="H34" s="18">
        <v>6.5571299375475274</v>
      </c>
      <c r="I34" s="6"/>
      <c r="J34" s="7"/>
      <c r="K34" s="35">
        <v>4.8600000000000003</v>
      </c>
      <c r="L34" s="20">
        <v>5.31</v>
      </c>
      <c r="M34" s="20">
        <v>3.22</v>
      </c>
      <c r="N34" s="36">
        <v>3.23</v>
      </c>
      <c r="O34" s="17">
        <v>3.2413446915121837</v>
      </c>
      <c r="P34" s="18">
        <v>3.2403575491780363</v>
      </c>
      <c r="Q34" s="18">
        <v>3.7284864778521269</v>
      </c>
      <c r="R34" s="19">
        <v>3.702261446856947</v>
      </c>
      <c r="T34" s="70" t="s">
        <v>14</v>
      </c>
      <c r="U34" s="67">
        <f t="shared" si="1"/>
        <v>4.1550000000000002</v>
      </c>
    </row>
    <row r="35" spans="1:21">
      <c r="A35" s="12">
        <v>7</v>
      </c>
      <c r="B35" s="13" t="s">
        <v>15</v>
      </c>
      <c r="C35" s="35">
        <v>7.63</v>
      </c>
      <c r="D35" s="20">
        <v>7.63</v>
      </c>
      <c r="E35" s="15"/>
      <c r="F35" s="16"/>
      <c r="G35" s="17">
        <v>3.832510607419279</v>
      </c>
      <c r="H35" s="18">
        <v>3.8307824469478833</v>
      </c>
      <c r="I35" s="6"/>
      <c r="J35" s="7"/>
      <c r="K35" s="35">
        <v>6.06</v>
      </c>
      <c r="L35" s="20">
        <v>0.02</v>
      </c>
      <c r="M35" s="20">
        <v>0.08</v>
      </c>
      <c r="N35" s="36">
        <v>0.08</v>
      </c>
      <c r="O35" s="17">
        <v>2.2216454101427825E-2</v>
      </c>
      <c r="P35" s="18">
        <v>2.1834487251698113E-2</v>
      </c>
      <c r="Q35" s="18">
        <v>7.1061128231550228</v>
      </c>
      <c r="R35" s="19">
        <v>7.0697770917707503</v>
      </c>
      <c r="T35" s="66" t="s">
        <v>15</v>
      </c>
      <c r="U35" s="67">
        <f t="shared" si="1"/>
        <v>1.5599999999999998</v>
      </c>
    </row>
    <row r="36" spans="1:21">
      <c r="A36" s="22">
        <v>8</v>
      </c>
      <c r="B36" s="25" t="s">
        <v>16</v>
      </c>
      <c r="C36" s="35">
        <v>27.35</v>
      </c>
      <c r="D36" s="20">
        <v>27.35</v>
      </c>
      <c r="E36" s="15"/>
      <c r="F36" s="16"/>
      <c r="G36" s="17">
        <v>38.371004724033355</v>
      </c>
      <c r="H36" s="18">
        <v>38.369957463316915</v>
      </c>
      <c r="I36" s="6"/>
      <c r="J36" s="7"/>
      <c r="K36" s="35">
        <v>28.73</v>
      </c>
      <c r="L36" s="20">
        <v>31.33</v>
      </c>
      <c r="M36" s="20">
        <v>23.14</v>
      </c>
      <c r="N36" s="36">
        <v>23.15</v>
      </c>
      <c r="O36" s="17">
        <v>21.018323928349922</v>
      </c>
      <c r="P36" s="18">
        <v>21.003799667754283</v>
      </c>
      <c r="Q36" s="18">
        <v>20.864144777440234</v>
      </c>
      <c r="R36" s="19">
        <v>20.768391611082514</v>
      </c>
      <c r="T36" s="70" t="s">
        <v>16</v>
      </c>
      <c r="U36" s="67">
        <f t="shared" si="1"/>
        <v>26.587499999999999</v>
      </c>
    </row>
    <row r="37" spans="1:21">
      <c r="A37" s="12">
        <v>9</v>
      </c>
      <c r="B37" s="13" t="s">
        <v>17</v>
      </c>
      <c r="C37" s="35">
        <v>2.5499999999999998</v>
      </c>
      <c r="D37" s="20">
        <v>2.5499999999999998</v>
      </c>
      <c r="E37" s="15"/>
      <c r="F37" s="16"/>
      <c r="G37" s="17">
        <v>1.6164747492631384</v>
      </c>
      <c r="H37" s="18">
        <v>1.6168222467494664</v>
      </c>
      <c r="I37" s="6"/>
      <c r="J37" s="7"/>
      <c r="K37" s="35">
        <v>2.33</v>
      </c>
      <c r="L37" s="20">
        <v>0.06</v>
      </c>
      <c r="M37" s="20">
        <v>7.0000000000000007E-2</v>
      </c>
      <c r="N37" s="36">
        <v>7.0000000000000007E-2</v>
      </c>
      <c r="O37" s="17">
        <v>3.1007337167227513</v>
      </c>
      <c r="P37" s="18">
        <v>3.0979249076813429</v>
      </c>
      <c r="Q37" s="18">
        <v>2.8675164903115271</v>
      </c>
      <c r="R37" s="19">
        <v>2.852863660209132</v>
      </c>
      <c r="T37" s="66" t="s">
        <v>17</v>
      </c>
      <c r="U37" s="67">
        <f t="shared" si="1"/>
        <v>0.63249999999999995</v>
      </c>
    </row>
    <row r="38" spans="1:21">
      <c r="A38" s="22">
        <v>10</v>
      </c>
      <c r="B38" s="26" t="s">
        <v>18</v>
      </c>
      <c r="C38" s="35">
        <v>0.1</v>
      </c>
      <c r="D38" s="20">
        <v>0.1</v>
      </c>
      <c r="E38" s="15"/>
      <c r="F38" s="16"/>
      <c r="G38" s="17">
        <v>0</v>
      </c>
      <c r="H38" s="18">
        <v>0</v>
      </c>
      <c r="I38" s="6"/>
      <c r="J38" s="7"/>
      <c r="K38" s="35">
        <v>0.16</v>
      </c>
      <c r="L38" s="20">
        <v>0.18</v>
      </c>
      <c r="M38" s="20">
        <v>0.42</v>
      </c>
      <c r="N38" s="36">
        <v>0.42</v>
      </c>
      <c r="O38" s="17">
        <v>0.14874023141417819</v>
      </c>
      <c r="P38" s="18">
        <v>0.14636509777447454</v>
      </c>
      <c r="Q38" s="18">
        <v>1.1540622414364739E-2</v>
      </c>
      <c r="R38" s="19">
        <v>1.142985409978152E-2</v>
      </c>
      <c r="T38" s="71" t="s">
        <v>18</v>
      </c>
      <c r="U38" s="67">
        <f t="shared" si="1"/>
        <v>0.29499999999999998</v>
      </c>
    </row>
    <row r="39" spans="1:21">
      <c r="A39" s="12">
        <v>11</v>
      </c>
      <c r="B39" s="27" t="s">
        <v>19</v>
      </c>
      <c r="C39" s="35">
        <v>3.12</v>
      </c>
      <c r="D39" s="20">
        <v>3.12</v>
      </c>
      <c r="E39" s="15"/>
      <c r="F39" s="16"/>
      <c r="G39" s="17">
        <v>1.1884164078613937</v>
      </c>
      <c r="H39" s="18">
        <v>1.1913797560739201</v>
      </c>
      <c r="I39" s="6"/>
      <c r="J39" s="7"/>
      <c r="K39" s="35">
        <v>1.86</v>
      </c>
      <c r="L39" s="20">
        <v>2.02</v>
      </c>
      <c r="M39" s="20">
        <v>0.61</v>
      </c>
      <c r="N39" s="36">
        <v>0.6</v>
      </c>
      <c r="O39" s="17">
        <v>0.61312890453883107</v>
      </c>
      <c r="P39" s="18">
        <v>0.61411059850307004</v>
      </c>
      <c r="Q39" s="18">
        <v>0.58119530763837313</v>
      </c>
      <c r="R39" s="19">
        <v>1.0844222290122159</v>
      </c>
      <c r="T39" s="72" t="s">
        <v>19</v>
      </c>
      <c r="U39" s="67">
        <f t="shared" si="1"/>
        <v>1.2725</v>
      </c>
    </row>
    <row r="40" spans="1:21">
      <c r="A40" s="22">
        <v>12</v>
      </c>
      <c r="B40" s="25" t="s">
        <v>20</v>
      </c>
      <c r="C40" s="35">
        <v>2.67</v>
      </c>
      <c r="D40" s="20">
        <v>2.68</v>
      </c>
      <c r="E40" s="15"/>
      <c r="F40" s="16"/>
      <c r="G40" s="17">
        <v>1.592752450565051</v>
      </c>
      <c r="H40" s="18">
        <v>1.596880914267649</v>
      </c>
      <c r="I40" s="6"/>
      <c r="J40" s="7"/>
      <c r="K40" s="35">
        <v>4.6500000000000004</v>
      </c>
      <c r="L40" s="20">
        <v>5.07</v>
      </c>
      <c r="M40" s="20">
        <v>8.74</v>
      </c>
      <c r="N40" s="36">
        <v>8.73</v>
      </c>
      <c r="O40" s="17">
        <v>5.7393172389542899</v>
      </c>
      <c r="P40" s="18">
        <v>5.7339158138349795</v>
      </c>
      <c r="Q40" s="18">
        <v>2.6899413026954839</v>
      </c>
      <c r="R40" s="19">
        <v>2.6672923465861813</v>
      </c>
      <c r="T40" s="70" t="s">
        <v>20</v>
      </c>
      <c r="U40" s="67">
        <f t="shared" si="1"/>
        <v>6.7975000000000003</v>
      </c>
    </row>
    <row r="41" spans="1:21">
      <c r="A41" s="12">
        <v>13</v>
      </c>
      <c r="B41" s="13" t="s">
        <v>21</v>
      </c>
      <c r="C41" s="35">
        <v>5.99</v>
      </c>
      <c r="D41" s="20">
        <v>5.99</v>
      </c>
      <c r="E41" s="15"/>
      <c r="F41" s="16"/>
      <c r="G41" s="17">
        <v>3.0434909601599802</v>
      </c>
      <c r="H41" s="18">
        <v>3.0454088103087238</v>
      </c>
      <c r="I41" s="6"/>
      <c r="J41" s="7"/>
      <c r="K41" s="35">
        <v>5.25</v>
      </c>
      <c r="L41" s="20">
        <v>5.73</v>
      </c>
      <c r="M41" s="20">
        <v>5.34</v>
      </c>
      <c r="N41" s="36">
        <v>5.35</v>
      </c>
      <c r="O41" s="17">
        <v>6.3204013824255387</v>
      </c>
      <c r="P41" s="18">
        <v>6.3133971234437452</v>
      </c>
      <c r="Q41" s="18">
        <v>6.0503658178128399</v>
      </c>
      <c r="R41" s="19">
        <v>6.0185344109559615</v>
      </c>
      <c r="T41" s="66" t="s">
        <v>21</v>
      </c>
      <c r="U41" s="67">
        <f t="shared" si="1"/>
        <v>5.4175000000000004</v>
      </c>
    </row>
    <row r="42" spans="1:21">
      <c r="A42" s="22">
        <v>14</v>
      </c>
      <c r="B42" s="25" t="s">
        <v>22</v>
      </c>
      <c r="C42" s="35">
        <v>0.1</v>
      </c>
      <c r="D42" s="20">
        <v>0.1</v>
      </c>
      <c r="E42" s="15"/>
      <c r="F42" s="16"/>
      <c r="G42" s="17">
        <v>0</v>
      </c>
      <c r="H42" s="18">
        <v>0</v>
      </c>
      <c r="I42" s="6"/>
      <c r="J42" s="7"/>
      <c r="K42" s="35">
        <v>0.06</v>
      </c>
      <c r="L42" s="20">
        <v>0.06</v>
      </c>
      <c r="M42" s="20">
        <v>0.06</v>
      </c>
      <c r="N42" s="36">
        <v>0.06</v>
      </c>
      <c r="O42" s="17">
        <v>3.8306858465797199E-2</v>
      </c>
      <c r="P42" s="18">
        <v>3.8190497011715605E-2</v>
      </c>
      <c r="Q42" s="18">
        <v>1.5027968719602408E-2</v>
      </c>
      <c r="R42" s="19">
        <v>1.4782873705869429E-2</v>
      </c>
      <c r="T42" s="70" t="s">
        <v>22</v>
      </c>
      <c r="U42" s="67">
        <f t="shared" si="1"/>
        <v>0.06</v>
      </c>
    </row>
    <row r="43" spans="1:21">
      <c r="A43" s="12">
        <v>15</v>
      </c>
      <c r="B43" s="13" t="s">
        <v>23</v>
      </c>
      <c r="C43" s="35">
        <v>3.83</v>
      </c>
      <c r="D43" s="20">
        <v>3.83</v>
      </c>
      <c r="E43" s="15"/>
      <c r="F43" s="16"/>
      <c r="G43" s="17">
        <v>2.9975390017830112</v>
      </c>
      <c r="H43" s="18">
        <v>2.9960277738208547</v>
      </c>
      <c r="I43" s="6"/>
      <c r="J43" s="7"/>
      <c r="K43" s="35">
        <v>3.7</v>
      </c>
      <c r="L43" s="20">
        <v>4.04</v>
      </c>
      <c r="M43" s="20">
        <v>3.85</v>
      </c>
      <c r="N43" s="36">
        <v>3.85</v>
      </c>
      <c r="O43" s="17">
        <v>4.3114705287736754</v>
      </c>
      <c r="P43" s="18">
        <v>4.3046841168005372</v>
      </c>
      <c r="Q43" s="18">
        <v>4.0566491836363534</v>
      </c>
      <c r="R43" s="19">
        <v>4.0274487075396932</v>
      </c>
      <c r="T43" s="66" t="s">
        <v>23</v>
      </c>
      <c r="U43" s="67">
        <f t="shared" si="1"/>
        <v>3.86</v>
      </c>
    </row>
    <row r="44" spans="1:21">
      <c r="A44" s="22">
        <v>16</v>
      </c>
      <c r="B44" s="25" t="s">
        <v>24</v>
      </c>
      <c r="C44" s="35">
        <v>6.58</v>
      </c>
      <c r="D44" s="20">
        <v>6.58</v>
      </c>
      <c r="E44" s="15"/>
      <c r="F44" s="16"/>
      <c r="G44" s="17">
        <v>5.3487119997136485</v>
      </c>
      <c r="H44" s="18">
        <v>5.3497872101549602</v>
      </c>
      <c r="I44" s="6"/>
      <c r="J44" s="7"/>
      <c r="K44" s="35">
        <v>5.57</v>
      </c>
      <c r="L44" s="20">
        <v>6.08</v>
      </c>
      <c r="M44" s="20">
        <v>5.88</v>
      </c>
      <c r="N44" s="36">
        <v>5.88</v>
      </c>
      <c r="O44" s="17">
        <v>8.356563375412156</v>
      </c>
      <c r="P44" s="18">
        <v>8.3545527883139048</v>
      </c>
      <c r="Q44" s="18">
        <v>7.8014181539562664</v>
      </c>
      <c r="R44" s="19">
        <v>7.7486522521804071</v>
      </c>
      <c r="T44" s="70" t="s">
        <v>24</v>
      </c>
      <c r="U44" s="67">
        <f t="shared" si="1"/>
        <v>5.8525</v>
      </c>
    </row>
    <row r="45" spans="1:21" ht="16" thickBot="1">
      <c r="A45" s="12">
        <v>17</v>
      </c>
      <c r="B45" s="13" t="s">
        <v>25</v>
      </c>
      <c r="C45" s="37">
        <v>3.45</v>
      </c>
      <c r="D45" s="38">
        <v>3.45</v>
      </c>
      <c r="E45" s="29"/>
      <c r="F45" s="30"/>
      <c r="G45" s="31">
        <v>2.9500944043868373</v>
      </c>
      <c r="H45" s="32">
        <v>2.9544133615627457</v>
      </c>
      <c r="I45" s="39"/>
      <c r="J45" s="40"/>
      <c r="K45" s="37">
        <v>6.17</v>
      </c>
      <c r="L45" s="38">
        <v>6.73</v>
      </c>
      <c r="M45" s="38">
        <v>10.93</v>
      </c>
      <c r="N45" s="41">
        <v>10.91</v>
      </c>
      <c r="O45" s="31">
        <v>5.4842275933004858</v>
      </c>
      <c r="P45" s="32">
        <v>5.5476147961248286</v>
      </c>
      <c r="Q45" s="32">
        <v>4.6153409295792818</v>
      </c>
      <c r="R45" s="33">
        <v>4.5827408974201571</v>
      </c>
      <c r="T45" s="73" t="s">
        <v>25</v>
      </c>
      <c r="U45" s="74">
        <f t="shared" si="1"/>
        <v>8.6849999999999987</v>
      </c>
    </row>
    <row r="46" spans="1:21">
      <c r="C46" s="34">
        <f t="shared" ref="C46:R46" si="2">SUM(C29:C45)</f>
        <v>99.97999999999999</v>
      </c>
      <c r="D46" s="34">
        <f t="shared" si="2"/>
        <v>99.999999999999986</v>
      </c>
      <c r="E46" s="34"/>
      <c r="F46" s="34"/>
      <c r="G46" s="34">
        <f t="shared" si="2"/>
        <v>99.999999999999972</v>
      </c>
      <c r="H46" s="34">
        <f t="shared" si="2"/>
        <v>99.999999999999986</v>
      </c>
      <c r="I46" s="34"/>
      <c r="J46" s="34"/>
      <c r="K46" s="34">
        <f t="shared" si="2"/>
        <v>100.01</v>
      </c>
      <c r="L46" s="34">
        <f t="shared" si="2"/>
        <v>100.00000000000003</v>
      </c>
      <c r="M46" s="34">
        <f t="shared" si="2"/>
        <v>99.999999999999972</v>
      </c>
      <c r="N46" s="34">
        <f t="shared" si="2"/>
        <v>100.01999999999997</v>
      </c>
      <c r="O46" s="34">
        <f t="shared" si="2"/>
        <v>100</v>
      </c>
      <c r="P46" s="34">
        <f t="shared" si="2"/>
        <v>100.00000000000001</v>
      </c>
      <c r="Q46" s="34">
        <f t="shared" si="2"/>
        <v>99.999999999999986</v>
      </c>
      <c r="R46" s="34">
        <f t="shared" si="2"/>
        <v>99.999999999999986</v>
      </c>
      <c r="U46" s="45"/>
    </row>
    <row r="48" spans="1:21" ht="25">
      <c r="A48" s="1" t="s">
        <v>31</v>
      </c>
    </row>
    <row r="49" spans="1:26" ht="16" thickBot="1"/>
    <row r="50" spans="1:26" ht="16" thickBot="1">
      <c r="C50" s="46" t="s">
        <v>1</v>
      </c>
      <c r="D50" s="47"/>
      <c r="E50" s="47" t="s">
        <v>2</v>
      </c>
      <c r="F50" s="48"/>
      <c r="G50" s="46" t="s">
        <v>1</v>
      </c>
      <c r="H50" s="47"/>
      <c r="I50" s="47" t="s">
        <v>2</v>
      </c>
      <c r="J50" s="48"/>
      <c r="K50" s="46" t="s">
        <v>1</v>
      </c>
      <c r="L50" s="47"/>
      <c r="M50" s="47" t="s">
        <v>2</v>
      </c>
      <c r="N50" s="48"/>
      <c r="O50" s="46" t="s">
        <v>1</v>
      </c>
      <c r="P50" s="47"/>
      <c r="Q50" s="47" t="s">
        <v>2</v>
      </c>
      <c r="R50" s="48"/>
      <c r="S50" s="46" t="s">
        <v>1</v>
      </c>
      <c r="T50" s="47"/>
      <c r="U50" s="47" t="s">
        <v>2</v>
      </c>
      <c r="V50" s="48"/>
    </row>
    <row r="51" spans="1:26" ht="16" thickBot="1">
      <c r="C51" s="52" t="s">
        <v>32</v>
      </c>
      <c r="D51" s="53"/>
      <c r="E51" s="53"/>
      <c r="F51" s="53"/>
      <c r="G51" s="52" t="s">
        <v>33</v>
      </c>
      <c r="H51" s="53"/>
      <c r="I51" s="53"/>
      <c r="J51" s="53"/>
      <c r="K51" s="52" t="s">
        <v>34</v>
      </c>
      <c r="L51" s="53"/>
      <c r="M51" s="53"/>
      <c r="N51" s="54"/>
      <c r="O51" s="52" t="s">
        <v>35</v>
      </c>
      <c r="P51" s="53"/>
      <c r="Q51" s="53"/>
      <c r="R51" s="53"/>
      <c r="S51" s="52" t="s">
        <v>36</v>
      </c>
      <c r="T51" s="53"/>
      <c r="U51" s="53"/>
      <c r="V51" s="54"/>
      <c r="W51" s="2" t="s">
        <v>28</v>
      </c>
      <c r="X51" s="2"/>
      <c r="Y51" s="2"/>
      <c r="Z51" s="2"/>
    </row>
    <row r="52" spans="1:26">
      <c r="A52" s="3" t="s">
        <v>6</v>
      </c>
      <c r="B52" s="4" t="s">
        <v>7</v>
      </c>
      <c r="C52" s="8" t="s">
        <v>8</v>
      </c>
      <c r="D52" s="9" t="s">
        <v>8</v>
      </c>
      <c r="E52" s="9" t="s">
        <v>8</v>
      </c>
      <c r="F52" s="10" t="s">
        <v>8</v>
      </c>
      <c r="G52" s="8" t="s">
        <v>8</v>
      </c>
      <c r="H52" s="9" t="s">
        <v>8</v>
      </c>
      <c r="I52" s="9" t="s">
        <v>8</v>
      </c>
      <c r="J52" s="10" t="s">
        <v>8</v>
      </c>
      <c r="K52" s="8" t="s">
        <v>8</v>
      </c>
      <c r="L52" s="9" t="s">
        <v>8</v>
      </c>
      <c r="M52" s="9" t="s">
        <v>8</v>
      </c>
      <c r="N52" s="9" t="s">
        <v>8</v>
      </c>
      <c r="O52" s="8" t="s">
        <v>8</v>
      </c>
      <c r="P52" s="9" t="s">
        <v>8</v>
      </c>
      <c r="Q52" s="9" t="s">
        <v>8</v>
      </c>
      <c r="R52" s="10" t="s">
        <v>8</v>
      </c>
      <c r="S52" s="8" t="s">
        <v>8</v>
      </c>
      <c r="T52" s="9" t="s">
        <v>8</v>
      </c>
      <c r="U52" s="9"/>
      <c r="V52" s="10"/>
      <c r="W52" s="11"/>
      <c r="X52" s="11"/>
      <c r="Y52" s="42"/>
      <c r="Z52" s="42"/>
    </row>
    <row r="53" spans="1:26">
      <c r="A53" s="12">
        <v>1</v>
      </c>
      <c r="B53" s="13" t="s">
        <v>9</v>
      </c>
      <c r="C53" s="17">
        <v>0.15563752874147291</v>
      </c>
      <c r="D53" s="18">
        <v>0.15521644174085247</v>
      </c>
      <c r="E53" s="18"/>
      <c r="F53" s="19"/>
      <c r="G53" s="17">
        <v>9.7762357660141866E-2</v>
      </c>
      <c r="H53" s="18">
        <v>9.9776838858836286E-2</v>
      </c>
      <c r="I53" s="18">
        <v>0.17165772800846324</v>
      </c>
      <c r="J53" s="19">
        <v>0.17539133953638802</v>
      </c>
      <c r="K53" s="17">
        <v>5.9821452506252415</v>
      </c>
      <c r="L53" s="18">
        <v>0</v>
      </c>
      <c r="M53" s="43">
        <v>0.49098735539413507</v>
      </c>
      <c r="N53" s="20"/>
      <c r="O53" s="17">
        <v>6.618744548278567E-2</v>
      </c>
      <c r="P53" s="18">
        <v>6.5158576169559002E-2</v>
      </c>
      <c r="Q53" s="18">
        <v>0.6427255858194546</v>
      </c>
      <c r="R53" s="19">
        <v>0.64316675331841644</v>
      </c>
      <c r="S53" s="17">
        <v>1.7750688527201419</v>
      </c>
      <c r="T53" s="18">
        <v>1.7765757238652444</v>
      </c>
      <c r="U53" s="20"/>
      <c r="V53" s="36"/>
      <c r="W53" s="21"/>
      <c r="X53" s="21"/>
      <c r="Y53" s="42"/>
      <c r="Z53" s="42"/>
    </row>
    <row r="54" spans="1:26">
      <c r="A54" s="22">
        <v>2</v>
      </c>
      <c r="B54" s="23" t="s">
        <v>10</v>
      </c>
      <c r="C54" s="17">
        <v>4.0336913138433159</v>
      </c>
      <c r="D54" s="18">
        <v>3.8437586825171928</v>
      </c>
      <c r="E54" s="18"/>
      <c r="F54" s="19"/>
      <c r="G54" s="17">
        <v>3.5295077756739071</v>
      </c>
      <c r="H54" s="18">
        <v>3.5841749082323973</v>
      </c>
      <c r="I54" s="18">
        <v>4.057991519837409</v>
      </c>
      <c r="J54" s="19">
        <v>4.1080764640950802</v>
      </c>
      <c r="K54" s="17">
        <v>5.9956368444857686</v>
      </c>
      <c r="L54" s="18">
        <v>17.225899897286553</v>
      </c>
      <c r="M54" s="43">
        <v>17.868672892885968</v>
      </c>
      <c r="N54" s="18">
        <v>18.016985710434074</v>
      </c>
      <c r="O54" s="17">
        <v>20.249918519786142</v>
      </c>
      <c r="P54" s="18">
        <v>20.253386447196778</v>
      </c>
      <c r="Q54" s="18">
        <v>23.315656463046601</v>
      </c>
      <c r="R54" s="19">
        <v>23.303445939676823</v>
      </c>
      <c r="S54" s="17">
        <v>8.5669286236644098</v>
      </c>
      <c r="T54" s="18">
        <v>5.7355720648482697E-2</v>
      </c>
      <c r="U54" s="20"/>
      <c r="V54" s="36"/>
      <c r="W54" s="21"/>
      <c r="X54" s="21"/>
      <c r="Y54" s="42"/>
      <c r="Z54" s="42"/>
    </row>
    <row r="55" spans="1:26">
      <c r="A55" s="12">
        <v>3</v>
      </c>
      <c r="B55" s="24" t="s">
        <v>11</v>
      </c>
      <c r="C55" s="17">
        <v>2.2500660138930595</v>
      </c>
      <c r="D55" s="18">
        <v>2.1637811988802831</v>
      </c>
      <c r="E55" s="18"/>
      <c r="F55" s="19"/>
      <c r="G55" s="17">
        <v>1.9541993463361058</v>
      </c>
      <c r="H55" s="18">
        <v>1.2666987787167596</v>
      </c>
      <c r="I55" s="18">
        <v>2.5976451446967923</v>
      </c>
      <c r="J55" s="19">
        <v>2.6273888243871282</v>
      </c>
      <c r="K55" s="17">
        <v>5.9079584930593585</v>
      </c>
      <c r="L55" s="18">
        <v>1.8268200005597268</v>
      </c>
      <c r="M55" s="43">
        <v>2.0110304008609092</v>
      </c>
      <c r="N55" s="18">
        <v>2.0490698301428951</v>
      </c>
      <c r="O55" s="17">
        <v>1.2365213667349177</v>
      </c>
      <c r="P55" s="18">
        <v>1.2433007767504036</v>
      </c>
      <c r="Q55" s="18">
        <v>2.645039397928405</v>
      </c>
      <c r="R55" s="19">
        <v>2.6522073382837257</v>
      </c>
      <c r="S55" s="17">
        <v>3.9957019568987526</v>
      </c>
      <c r="T55" s="18">
        <v>3.9065051599751626</v>
      </c>
      <c r="U55" s="20"/>
      <c r="V55" s="36"/>
      <c r="W55" s="21"/>
      <c r="X55" s="21"/>
      <c r="Y55" s="42"/>
      <c r="Z55" s="42"/>
    </row>
    <row r="56" spans="1:26">
      <c r="A56" s="22">
        <v>4</v>
      </c>
      <c r="B56" s="25" t="s">
        <v>12</v>
      </c>
      <c r="C56" s="17">
        <v>46.804349066319645</v>
      </c>
      <c r="D56" s="18">
        <v>46.727279049753101</v>
      </c>
      <c r="E56" s="18"/>
      <c r="F56" s="19"/>
      <c r="G56" s="17">
        <v>47.022171749080343</v>
      </c>
      <c r="H56" s="18">
        <v>47.812191455682445</v>
      </c>
      <c r="I56" s="18">
        <v>44.714061486066889</v>
      </c>
      <c r="J56" s="19">
        <v>45.273109340206808</v>
      </c>
      <c r="K56" s="17">
        <v>8.0493662354708562</v>
      </c>
      <c r="L56" s="18">
        <v>7.6926351211474744</v>
      </c>
      <c r="M56" s="43">
        <v>6.9948883508205535</v>
      </c>
      <c r="N56" s="18">
        <v>7.0350113623233055</v>
      </c>
      <c r="O56" s="17">
        <v>6.4570453798210536</v>
      </c>
      <c r="P56" s="18">
        <v>6.4561548989261812</v>
      </c>
      <c r="Q56" s="18">
        <v>9.0599007468139074</v>
      </c>
      <c r="R56" s="19">
        <v>9.0584028824806726</v>
      </c>
      <c r="S56" s="17">
        <v>30.241606312615808</v>
      </c>
      <c r="T56" s="18">
        <v>30.381899783542249</v>
      </c>
      <c r="U56" s="20"/>
      <c r="V56" s="36"/>
      <c r="W56" s="21"/>
      <c r="X56" s="21"/>
      <c r="Y56" s="42"/>
      <c r="Z56" s="42"/>
    </row>
    <row r="57" spans="1:26">
      <c r="A57" s="12">
        <v>5</v>
      </c>
      <c r="B57" s="13" t="s">
        <v>13</v>
      </c>
      <c r="C57" s="17">
        <v>0.13534034978165912</v>
      </c>
      <c r="D57" s="18">
        <v>0.61103547743055464</v>
      </c>
      <c r="E57" s="18"/>
      <c r="F57" s="19"/>
      <c r="G57" s="17">
        <v>2.1608545383728021E-2</v>
      </c>
      <c r="H57" s="18">
        <v>3.1547680890192983E-2</v>
      </c>
      <c r="I57" s="18">
        <v>2.9853517914515352E-2</v>
      </c>
      <c r="J57" s="19">
        <v>2.9608728282692887E-2</v>
      </c>
      <c r="K57" s="17">
        <v>6.0039800493331095</v>
      </c>
      <c r="L57" s="18">
        <v>5.5294692367135339</v>
      </c>
      <c r="M57" s="43">
        <v>4.1344786502171482</v>
      </c>
      <c r="N57" s="18">
        <v>4.2040596233100942</v>
      </c>
      <c r="O57" s="17">
        <v>5.8778694006180734</v>
      </c>
      <c r="P57" s="18">
        <v>5.8754581206244945</v>
      </c>
      <c r="Q57" s="18">
        <v>2.3709035188395267</v>
      </c>
      <c r="R57" s="19">
        <v>2.3709436121529865</v>
      </c>
      <c r="S57" s="17">
        <v>3.0374502777225629</v>
      </c>
      <c r="T57" s="18">
        <v>3.0501833006193979</v>
      </c>
      <c r="U57" s="20"/>
      <c r="V57" s="36"/>
      <c r="W57" s="21"/>
      <c r="X57" s="21"/>
      <c r="Y57" s="42"/>
      <c r="Z57" s="42"/>
    </row>
    <row r="58" spans="1:26">
      <c r="A58" s="22">
        <v>6</v>
      </c>
      <c r="B58" s="25" t="s">
        <v>14</v>
      </c>
      <c r="C58" s="17">
        <v>5.9079251867482432</v>
      </c>
      <c r="D58" s="18">
        <v>5.8938841388261993</v>
      </c>
      <c r="E58" s="18"/>
      <c r="F58" s="19"/>
      <c r="G58" s="17">
        <v>5.5311549801261588</v>
      </c>
      <c r="H58" s="18">
        <v>5.6281908274535297</v>
      </c>
      <c r="I58" s="18">
        <v>6.1302642692921445</v>
      </c>
      <c r="J58" s="19">
        <v>6.2058100012143518</v>
      </c>
      <c r="K58" s="17">
        <v>6.0106961202587641</v>
      </c>
      <c r="L58" s="18">
        <v>11.256841169755724</v>
      </c>
      <c r="M58" s="43">
        <v>9.000153733809908</v>
      </c>
      <c r="N58" s="18">
        <v>9.0821553749566686</v>
      </c>
      <c r="O58" s="17">
        <v>14.714652994616426</v>
      </c>
      <c r="P58" s="18">
        <v>14.715446911976951</v>
      </c>
      <c r="Q58" s="18">
        <v>6.1859590398523085</v>
      </c>
      <c r="R58" s="19">
        <v>6.1887362442135654</v>
      </c>
      <c r="S58" s="17">
        <v>5.6187396839034971</v>
      </c>
      <c r="T58" s="18">
        <v>5.6318996586614016</v>
      </c>
      <c r="U58" s="20"/>
      <c r="V58" s="36"/>
      <c r="W58" s="21"/>
      <c r="X58" s="21"/>
      <c r="Y58" s="42"/>
      <c r="Z58" s="42"/>
    </row>
    <row r="59" spans="1:26">
      <c r="A59" s="12">
        <v>7</v>
      </c>
      <c r="B59" s="13" t="s">
        <v>15</v>
      </c>
      <c r="C59" s="17">
        <v>1.1458093226792592</v>
      </c>
      <c r="D59" s="18">
        <v>1.1402625193720992</v>
      </c>
      <c r="E59" s="18"/>
      <c r="F59" s="19"/>
      <c r="G59" s="17">
        <v>0.92871274286002514</v>
      </c>
      <c r="H59" s="18">
        <v>9.784411558796292E-3</v>
      </c>
      <c r="I59" s="18">
        <v>1.2685976540332857</v>
      </c>
      <c r="J59" s="19">
        <v>4.2959573035616226E-2</v>
      </c>
      <c r="K59" s="17">
        <v>5.993380322650018</v>
      </c>
      <c r="L59" s="18">
        <v>7.3921107366061518</v>
      </c>
      <c r="M59" s="43">
        <v>8.8819708674430213</v>
      </c>
      <c r="N59" s="18">
        <v>9.2314062319454582</v>
      </c>
      <c r="O59" s="17">
        <v>4.6386248605090259</v>
      </c>
      <c r="P59" s="18">
        <v>4.6394325809548862</v>
      </c>
      <c r="Q59" s="18">
        <v>5.8877497014456592</v>
      </c>
      <c r="R59" s="19">
        <v>5.8873586055805189</v>
      </c>
      <c r="S59" s="17">
        <v>9.7003620061899074</v>
      </c>
      <c r="T59" s="18">
        <v>9.7224191824852095</v>
      </c>
      <c r="U59" s="20"/>
      <c r="V59" s="36"/>
      <c r="W59" s="21"/>
      <c r="X59" s="21"/>
      <c r="Y59" s="42"/>
      <c r="Z59" s="42"/>
    </row>
    <row r="60" spans="1:26">
      <c r="A60" s="22">
        <v>8</v>
      </c>
      <c r="B60" s="25" t="s">
        <v>16</v>
      </c>
      <c r="C60" s="17">
        <v>19.830524607418376</v>
      </c>
      <c r="D60" s="18">
        <v>19.784721579240081</v>
      </c>
      <c r="E60" s="18"/>
      <c r="F60" s="19"/>
      <c r="G60" s="17">
        <v>22.757811587064598</v>
      </c>
      <c r="H60" s="18">
        <v>23.147381048819007</v>
      </c>
      <c r="I60" s="18">
        <v>19.538207816915488</v>
      </c>
      <c r="J60" s="19">
        <v>19.778702271574076</v>
      </c>
      <c r="K60" s="17">
        <v>5.9949019738800295</v>
      </c>
      <c r="L60" s="18">
        <v>17.100297802215671</v>
      </c>
      <c r="M60" s="43">
        <v>17.293131942042354</v>
      </c>
      <c r="N60" s="18">
        <v>17.316951045718906</v>
      </c>
      <c r="O60" s="17">
        <v>25.975290211452972</v>
      </c>
      <c r="P60" s="18">
        <v>25.975416704805891</v>
      </c>
      <c r="Q60" s="18">
        <v>15.839007335249496</v>
      </c>
      <c r="R60" s="19">
        <v>15.835877874145735</v>
      </c>
      <c r="S60" s="17">
        <v>7.8719388338790806</v>
      </c>
      <c r="T60" s="18">
        <v>7.9255208312918963</v>
      </c>
      <c r="U60" s="20"/>
      <c r="V60" s="36"/>
      <c r="W60" s="21"/>
      <c r="X60" s="21"/>
      <c r="Y60" s="42"/>
      <c r="Z60" s="42"/>
    </row>
    <row r="61" spans="1:26">
      <c r="A61" s="12">
        <v>9</v>
      </c>
      <c r="B61" s="13" t="s">
        <v>17</v>
      </c>
      <c r="C61" s="17">
        <v>1.9480901826328147</v>
      </c>
      <c r="D61" s="18">
        <v>1.9416226154465615</v>
      </c>
      <c r="E61" s="18"/>
      <c r="F61" s="19"/>
      <c r="G61" s="17">
        <v>2.3524450354576221</v>
      </c>
      <c r="H61" s="18">
        <v>2.3923288911938365</v>
      </c>
      <c r="I61" s="18">
        <v>2.0683818881151654</v>
      </c>
      <c r="J61" s="19">
        <v>2.0942163790929635</v>
      </c>
      <c r="K61" s="17">
        <v>6.0099759013084375</v>
      </c>
      <c r="L61" s="18">
        <v>4.981339634355626</v>
      </c>
      <c r="M61" s="43">
        <v>7.2043506668203996</v>
      </c>
      <c r="N61" s="18">
        <v>6.8491699726533906</v>
      </c>
      <c r="O61" s="17">
        <v>1.9796323830604856</v>
      </c>
      <c r="P61" s="18">
        <v>1.9795714879504711</v>
      </c>
      <c r="Q61" s="18">
        <v>2.6668639565880397</v>
      </c>
      <c r="R61" s="19">
        <v>2.6848069325161221</v>
      </c>
      <c r="S61" s="17">
        <v>8.356379857107612</v>
      </c>
      <c r="T61" s="18">
        <v>8.3623560432938788</v>
      </c>
      <c r="U61" s="20"/>
      <c r="V61" s="36"/>
      <c r="W61" s="21"/>
      <c r="X61" s="21"/>
      <c r="Y61" s="42"/>
      <c r="Z61" s="42"/>
    </row>
    <row r="62" spans="1:26">
      <c r="A62" s="22">
        <v>10</v>
      </c>
      <c r="B62" s="26" t="s">
        <v>18</v>
      </c>
      <c r="C62" s="17">
        <v>7.5920745727547766E-3</v>
      </c>
      <c r="D62" s="18">
        <v>7.3791004545330436E-3</v>
      </c>
      <c r="E62" s="18"/>
      <c r="F62" s="19"/>
      <c r="G62" s="17">
        <v>0</v>
      </c>
      <c r="H62" s="18">
        <v>0</v>
      </c>
      <c r="I62" s="18">
        <v>0</v>
      </c>
      <c r="J62" s="19">
        <v>0</v>
      </c>
      <c r="K62" s="17">
        <v>2.952543693656914</v>
      </c>
      <c r="L62" s="18">
        <v>0</v>
      </c>
      <c r="M62" s="43">
        <v>0</v>
      </c>
      <c r="N62" s="18">
        <v>0</v>
      </c>
      <c r="O62" s="17">
        <v>0</v>
      </c>
      <c r="P62" s="18">
        <v>0</v>
      </c>
      <c r="Q62" s="18">
        <v>6.7594798190554972E-2</v>
      </c>
      <c r="R62" s="19">
        <v>6.7309642248621987E-2</v>
      </c>
      <c r="S62" s="17">
        <v>0.51147252859990622</v>
      </c>
      <c r="T62" s="18">
        <v>4.8105886947667952E-2</v>
      </c>
      <c r="U62" s="20"/>
      <c r="V62" s="36"/>
      <c r="W62" s="21"/>
      <c r="X62" s="21"/>
      <c r="Y62" s="42"/>
      <c r="Z62" s="42"/>
    </row>
    <row r="63" spans="1:26">
      <c r="A63" s="12">
        <v>11</v>
      </c>
      <c r="B63" s="27" t="s">
        <v>19</v>
      </c>
      <c r="C63" s="17">
        <v>2.9490303272401205E-2</v>
      </c>
      <c r="D63" s="18">
        <v>2.8903604548551575E-2</v>
      </c>
      <c r="E63" s="18"/>
      <c r="F63" s="19"/>
      <c r="G63" s="17">
        <v>4.7551074674965964E-2</v>
      </c>
      <c r="H63" s="18">
        <v>4.8382764612224217E-2</v>
      </c>
      <c r="I63" s="18">
        <v>3.5115769373552007E-2</v>
      </c>
      <c r="J63" s="19">
        <v>3.518311098359661E-2</v>
      </c>
      <c r="K63" s="17">
        <v>5.5826120847003624</v>
      </c>
      <c r="L63" s="18">
        <v>0.3399805400609715</v>
      </c>
      <c r="M63" s="43">
        <v>0.62166109381605739</v>
      </c>
      <c r="N63" s="18">
        <v>0.63551977814582283</v>
      </c>
      <c r="O63" s="17">
        <v>0.30508141285114243</v>
      </c>
      <c r="P63" s="18">
        <v>0.30475475233291777</v>
      </c>
      <c r="Q63" s="18">
        <v>0.43370560305932265</v>
      </c>
      <c r="R63" s="19">
        <v>0.43653642789640634</v>
      </c>
      <c r="S63" s="17">
        <v>5.1295740529945727E-3</v>
      </c>
      <c r="T63" s="18">
        <v>0.75808126126093434</v>
      </c>
      <c r="U63" s="20"/>
      <c r="V63" s="36"/>
      <c r="W63" s="21"/>
      <c r="X63" s="21"/>
      <c r="Y63" s="42"/>
      <c r="Z63" s="42"/>
    </row>
    <row r="64" spans="1:26">
      <c r="A64" s="22">
        <v>12</v>
      </c>
      <c r="B64" s="25" t="s">
        <v>20</v>
      </c>
      <c r="C64" s="17">
        <v>14.351319223584676</v>
      </c>
      <c r="D64" s="18">
        <v>14.320306193511618</v>
      </c>
      <c r="E64" s="18"/>
      <c r="F64" s="19"/>
      <c r="G64" s="17">
        <v>12.569352783725513</v>
      </c>
      <c r="H64" s="18">
        <v>12.785286557372302</v>
      </c>
      <c r="I64" s="18">
        <v>15.997382512040318</v>
      </c>
      <c r="J64" s="19">
        <v>16.194825910869316</v>
      </c>
      <c r="K64" s="17">
        <v>5.8924910547104243</v>
      </c>
      <c r="L64" s="18">
        <v>2.785604579687186</v>
      </c>
      <c r="M64" s="43">
        <v>1.9946961835581689</v>
      </c>
      <c r="N64" s="18">
        <v>1.9556676809305549</v>
      </c>
      <c r="O64" s="17">
        <v>1.224797388734719</v>
      </c>
      <c r="P64" s="18">
        <v>1.2225963429252937</v>
      </c>
      <c r="Q64" s="18">
        <v>4.6473787657266525</v>
      </c>
      <c r="R64" s="19">
        <v>4.649169476643654</v>
      </c>
      <c r="S64" s="17">
        <v>7.4986273327328559E-2</v>
      </c>
      <c r="T64" s="18">
        <v>8.1228731225873823</v>
      </c>
      <c r="U64" s="20"/>
      <c r="V64" s="36"/>
      <c r="W64" s="21"/>
      <c r="X64" s="21"/>
      <c r="Y64" s="42"/>
      <c r="Z64" s="42"/>
    </row>
    <row r="65" spans="1:30">
      <c r="A65" s="12">
        <v>13</v>
      </c>
      <c r="B65" s="13" t="s">
        <v>21</v>
      </c>
      <c r="C65" s="17">
        <v>0.17531494651167406</v>
      </c>
      <c r="D65" s="18">
        <v>0.17446848929350967</v>
      </c>
      <c r="E65" s="18"/>
      <c r="F65" s="19"/>
      <c r="G65" s="17">
        <v>0.72634762799466379</v>
      </c>
      <c r="H65" s="18">
        <v>0.73878347029133495</v>
      </c>
      <c r="I65" s="18">
        <v>0.65094110210998335</v>
      </c>
      <c r="J65" s="19">
        <v>0.65928768309462837</v>
      </c>
      <c r="K65" s="17">
        <v>5.9500597126135641</v>
      </c>
      <c r="L65" s="18">
        <v>0.40771360703636811</v>
      </c>
      <c r="M65" s="43">
        <v>0.73407894231138782</v>
      </c>
      <c r="N65" s="18">
        <v>0.65381504448638439</v>
      </c>
      <c r="O65" s="17">
        <v>5.2915558406765852E-2</v>
      </c>
      <c r="P65" s="18">
        <v>5.2041686326275219E-2</v>
      </c>
      <c r="Q65" s="18">
        <v>0.25315465817604443</v>
      </c>
      <c r="R65" s="19">
        <v>0.25279651897955735</v>
      </c>
      <c r="S65" s="17">
        <v>0.67453898796878631</v>
      </c>
      <c r="T65" s="18">
        <v>0.67138938920366331</v>
      </c>
      <c r="U65" s="20"/>
      <c r="V65" s="36"/>
      <c r="W65" s="21"/>
      <c r="X65" s="21"/>
      <c r="Y65" s="42"/>
      <c r="Z65" s="42"/>
    </row>
    <row r="66" spans="1:30">
      <c r="A66" s="22">
        <v>14</v>
      </c>
      <c r="B66" s="25" t="s">
        <v>22</v>
      </c>
      <c r="C66" s="17">
        <v>0.67393864693793926</v>
      </c>
      <c r="D66" s="18">
        <v>0.66682556218195488</v>
      </c>
      <c r="E66" s="18"/>
      <c r="F66" s="19"/>
      <c r="G66" s="17">
        <v>2.1763689157088015E-2</v>
      </c>
      <c r="H66" s="18">
        <v>2.2214033356965847E-2</v>
      </c>
      <c r="I66" s="18">
        <v>3.1789356322137856E-2</v>
      </c>
      <c r="J66" s="19">
        <v>3.2057113107301805E-2</v>
      </c>
      <c r="K66" s="17">
        <v>5.9979558033648122</v>
      </c>
      <c r="L66" s="18">
        <v>5.6494638678216749</v>
      </c>
      <c r="M66" s="43">
        <v>6.1464698873899843</v>
      </c>
      <c r="N66" s="18">
        <v>6.1799483880907431</v>
      </c>
      <c r="O66" s="17">
        <v>5.2128131326899183</v>
      </c>
      <c r="P66" s="18">
        <v>5.2145599349709029</v>
      </c>
      <c r="Q66" s="18">
        <v>5.5295611602589601</v>
      </c>
      <c r="R66" s="19">
        <v>5.5287677710361427</v>
      </c>
      <c r="S66" s="17">
        <v>4.0109556902668677</v>
      </c>
      <c r="T66" s="18">
        <v>4.0192215355897902</v>
      </c>
      <c r="U66" s="20"/>
      <c r="V66" s="36"/>
      <c r="W66" s="21"/>
      <c r="X66" s="21"/>
      <c r="Y66" s="42"/>
      <c r="Z66" s="42"/>
    </row>
    <row r="67" spans="1:30">
      <c r="A67" s="12">
        <v>15</v>
      </c>
      <c r="B67" s="13" t="s">
        <v>23</v>
      </c>
      <c r="C67" s="17">
        <v>0.55329180202667971</v>
      </c>
      <c r="D67" s="18">
        <v>0.5517218083790657</v>
      </c>
      <c r="E67" s="18"/>
      <c r="F67" s="19"/>
      <c r="G67" s="17">
        <v>0.60009678552395274</v>
      </c>
      <c r="H67" s="18">
        <v>0.58066254769300962</v>
      </c>
      <c r="I67" s="18">
        <v>0.54663064674279649</v>
      </c>
      <c r="J67" s="19">
        <v>0.55255270380647237</v>
      </c>
      <c r="K67" s="17">
        <v>5.9524386105168494</v>
      </c>
      <c r="L67" s="18">
        <v>3.1446555949159878</v>
      </c>
      <c r="M67" s="43">
        <v>3.329297820823244</v>
      </c>
      <c r="N67" s="18">
        <v>3.365366097908562</v>
      </c>
      <c r="O67" s="17">
        <v>2.8187710920527187</v>
      </c>
      <c r="P67" s="18">
        <v>2.8160145435196986</v>
      </c>
      <c r="Q67" s="18">
        <v>3.4601125523668022</v>
      </c>
      <c r="R67" s="19">
        <v>3.4611029095491794</v>
      </c>
      <c r="S67" s="17">
        <v>5.4277305448248834</v>
      </c>
      <c r="T67" s="18">
        <v>5.4293823142410087</v>
      </c>
      <c r="U67" s="20"/>
      <c r="V67" s="36"/>
      <c r="W67" s="21"/>
      <c r="X67" s="21"/>
      <c r="Y67" s="42"/>
      <c r="Z67" s="42"/>
    </row>
    <row r="68" spans="1:30">
      <c r="A68" s="22">
        <v>16</v>
      </c>
      <c r="B68" s="25" t="s">
        <v>24</v>
      </c>
      <c r="C68" s="17">
        <v>0.67747645039531146</v>
      </c>
      <c r="D68" s="18">
        <v>0.67479192668650267</v>
      </c>
      <c r="E68" s="18"/>
      <c r="F68" s="19"/>
      <c r="G68" s="17">
        <v>0.74125416341948624</v>
      </c>
      <c r="H68" s="18">
        <v>0.73606557819166929</v>
      </c>
      <c r="I68" s="18">
        <v>0.72553952542954847</v>
      </c>
      <c r="J68" s="19">
        <v>0.73666515967339896</v>
      </c>
      <c r="K68" s="17">
        <v>5.9451523231136116</v>
      </c>
      <c r="L68" s="18">
        <v>6.7108344513002196</v>
      </c>
      <c r="M68" s="43">
        <v>7.4484030900495783</v>
      </c>
      <c r="N68" s="18">
        <v>7.5049108346493076</v>
      </c>
      <c r="O68" s="17">
        <v>5.2381816425436494</v>
      </c>
      <c r="P68" s="18">
        <v>5.2365633757253294</v>
      </c>
      <c r="Q68" s="18">
        <v>6.3265153309857869</v>
      </c>
      <c r="R68" s="19">
        <v>6.3194762325354121</v>
      </c>
      <c r="S68" s="17">
        <v>3.9017160112567146</v>
      </c>
      <c r="T68" s="18">
        <v>3.9024170662291366</v>
      </c>
      <c r="U68" s="20"/>
      <c r="V68" s="36"/>
      <c r="W68" s="21"/>
      <c r="X68" s="21"/>
      <c r="Y68" s="42"/>
      <c r="Z68" s="42"/>
    </row>
    <row r="69" spans="1:30" ht="16" thickBot="1">
      <c r="A69" s="12">
        <v>17</v>
      </c>
      <c r="B69" s="13" t="s">
        <v>25</v>
      </c>
      <c r="C69" s="31">
        <v>1.3201429806407132</v>
      </c>
      <c r="D69" s="32">
        <v>1.3140416117373306</v>
      </c>
      <c r="E69" s="32"/>
      <c r="F69" s="33"/>
      <c r="G69" s="31">
        <v>1.0982597558617191</v>
      </c>
      <c r="H69" s="32">
        <v>1.1165302070767154</v>
      </c>
      <c r="I69" s="32">
        <v>1.4359400631014989</v>
      </c>
      <c r="J69" s="33">
        <v>1.4541653970401822</v>
      </c>
      <c r="K69" s="31">
        <v>5.7787055262518701</v>
      </c>
      <c r="L69" s="32">
        <v>7.9563337605371247</v>
      </c>
      <c r="M69" s="44">
        <v>5.8457281217571762</v>
      </c>
      <c r="N69" s="32">
        <v>5.9199630243038159</v>
      </c>
      <c r="O69" s="31">
        <v>3.9516972106391797</v>
      </c>
      <c r="P69" s="32">
        <v>3.9501428588439707</v>
      </c>
      <c r="Q69" s="32">
        <v>10.668171385652473</v>
      </c>
      <c r="R69" s="33">
        <v>10.659894838742447</v>
      </c>
      <c r="S69" s="31">
        <v>6.2292939850007185</v>
      </c>
      <c r="T69" s="32">
        <v>6.2338140195574852</v>
      </c>
      <c r="U69" s="38"/>
      <c r="V69" s="41"/>
      <c r="W69" s="21"/>
      <c r="X69" s="21"/>
      <c r="Y69" s="42"/>
      <c r="Z69" s="42"/>
    </row>
    <row r="70" spans="1:30">
      <c r="C70" s="45">
        <v>100</v>
      </c>
      <c r="D70" s="45">
        <v>100</v>
      </c>
      <c r="E70" s="45"/>
      <c r="F70" s="45"/>
      <c r="G70" s="45">
        <v>100</v>
      </c>
      <c r="H70" s="45">
        <v>100</v>
      </c>
      <c r="I70" s="45">
        <v>100</v>
      </c>
      <c r="J70" s="45">
        <v>100</v>
      </c>
      <c r="K70" s="45">
        <v>100</v>
      </c>
      <c r="L70" s="45">
        <v>100</v>
      </c>
      <c r="M70" s="45">
        <v>100</v>
      </c>
      <c r="N70" s="45">
        <v>100</v>
      </c>
      <c r="O70" s="45">
        <v>100</v>
      </c>
      <c r="P70" s="45">
        <v>100</v>
      </c>
      <c r="Q70" s="45">
        <v>100</v>
      </c>
      <c r="R70" s="45">
        <v>100</v>
      </c>
      <c r="S70" s="45">
        <v>100</v>
      </c>
      <c r="T70" s="45">
        <v>100</v>
      </c>
    </row>
    <row r="73" spans="1:30" ht="26" thickBot="1">
      <c r="A73" s="1" t="s">
        <v>37</v>
      </c>
    </row>
    <row r="74" spans="1:30" ht="16" thickBot="1">
      <c r="C74" s="46" t="s">
        <v>1</v>
      </c>
      <c r="D74" s="47"/>
      <c r="E74" s="47" t="s">
        <v>2</v>
      </c>
      <c r="F74" s="48"/>
      <c r="G74" s="46" t="s">
        <v>1</v>
      </c>
      <c r="H74" s="47"/>
      <c r="I74" s="47" t="s">
        <v>2</v>
      </c>
      <c r="J74" s="48"/>
      <c r="K74" s="46" t="s">
        <v>1</v>
      </c>
      <c r="L74" s="47"/>
      <c r="M74" s="47" t="s">
        <v>2</v>
      </c>
      <c r="N74" s="48"/>
      <c r="O74" s="46" t="s">
        <v>1</v>
      </c>
      <c r="P74" s="47"/>
      <c r="Q74" s="47" t="s">
        <v>2</v>
      </c>
      <c r="R74" s="48"/>
      <c r="S74" s="46" t="s">
        <v>1</v>
      </c>
      <c r="T74" s="47"/>
      <c r="U74" s="47" t="s">
        <v>2</v>
      </c>
      <c r="V74" s="48"/>
      <c r="W74" s="46" t="s">
        <v>1</v>
      </c>
      <c r="X74" s="47"/>
      <c r="Y74" s="47" t="s">
        <v>2</v>
      </c>
      <c r="Z74" s="48"/>
      <c r="AA74" s="46" t="s">
        <v>1</v>
      </c>
      <c r="AB74" s="47"/>
      <c r="AC74" s="47" t="s">
        <v>2</v>
      </c>
      <c r="AD74" s="48"/>
    </row>
    <row r="75" spans="1:30" ht="16" thickBot="1">
      <c r="C75" s="49" t="s">
        <v>38</v>
      </c>
      <c r="D75" s="50"/>
      <c r="E75" s="50"/>
      <c r="F75" s="51"/>
      <c r="G75" s="49" t="s">
        <v>39</v>
      </c>
      <c r="H75" s="50"/>
      <c r="I75" s="50"/>
      <c r="J75" s="51"/>
      <c r="K75" s="52" t="s">
        <v>40</v>
      </c>
      <c r="L75" s="53"/>
      <c r="M75" s="53"/>
      <c r="N75" s="54"/>
      <c r="O75" s="52" t="s">
        <v>41</v>
      </c>
      <c r="P75" s="53"/>
      <c r="Q75" s="53"/>
      <c r="R75" s="53"/>
      <c r="S75" s="52" t="s">
        <v>42</v>
      </c>
      <c r="T75" s="53"/>
      <c r="U75" s="53"/>
      <c r="V75" s="54"/>
      <c r="W75" s="52" t="s">
        <v>43</v>
      </c>
      <c r="X75" s="53"/>
      <c r="Y75" s="53"/>
      <c r="Z75" s="54"/>
      <c r="AA75" s="52" t="s">
        <v>44</v>
      </c>
      <c r="AB75" s="53"/>
      <c r="AC75" s="53"/>
      <c r="AD75" s="54"/>
    </row>
    <row r="76" spans="1:30">
      <c r="A76" s="3" t="s">
        <v>6</v>
      </c>
      <c r="B76" s="4" t="s">
        <v>7</v>
      </c>
      <c r="C76" s="8" t="s">
        <v>8</v>
      </c>
      <c r="D76" s="9" t="s">
        <v>8</v>
      </c>
      <c r="E76" s="9" t="s">
        <v>8</v>
      </c>
      <c r="F76" s="10" t="s">
        <v>8</v>
      </c>
      <c r="G76" s="8" t="s">
        <v>8</v>
      </c>
      <c r="H76" s="9" t="s">
        <v>8</v>
      </c>
      <c r="I76" s="9" t="s">
        <v>8</v>
      </c>
      <c r="J76" s="10" t="s">
        <v>8</v>
      </c>
      <c r="K76" s="8" t="s">
        <v>8</v>
      </c>
      <c r="L76" s="9" t="s">
        <v>8</v>
      </c>
      <c r="M76" s="9" t="s">
        <v>8</v>
      </c>
      <c r="N76" s="10" t="s">
        <v>8</v>
      </c>
      <c r="O76" s="8" t="s">
        <v>8</v>
      </c>
      <c r="P76" s="9" t="s">
        <v>8</v>
      </c>
      <c r="Q76" s="9" t="s">
        <v>8</v>
      </c>
      <c r="R76" s="10" t="s">
        <v>8</v>
      </c>
      <c r="S76" s="8" t="s">
        <v>8</v>
      </c>
      <c r="T76" s="9" t="s">
        <v>8</v>
      </c>
      <c r="U76" s="9" t="s">
        <v>8</v>
      </c>
      <c r="V76" s="10" t="s">
        <v>8</v>
      </c>
      <c r="W76" s="8" t="s">
        <v>8</v>
      </c>
      <c r="X76" s="9" t="s">
        <v>8</v>
      </c>
      <c r="Y76" s="9" t="s">
        <v>8</v>
      </c>
      <c r="Z76" s="10" t="s">
        <v>8</v>
      </c>
      <c r="AA76" s="8" t="s">
        <v>8</v>
      </c>
      <c r="AB76" s="9" t="s">
        <v>8</v>
      </c>
      <c r="AC76" s="9" t="s">
        <v>8</v>
      </c>
      <c r="AD76" s="10" t="s">
        <v>8</v>
      </c>
    </row>
    <row r="77" spans="1:30">
      <c r="A77" s="12">
        <v>1</v>
      </c>
      <c r="B77" s="13" t="s">
        <v>9</v>
      </c>
      <c r="C77" s="17">
        <v>0.26947066915408829</v>
      </c>
      <c r="D77" s="18">
        <v>0</v>
      </c>
      <c r="E77" s="18">
        <v>0.40311405608324308</v>
      </c>
      <c r="F77" s="19">
        <v>0.44958855456341773</v>
      </c>
      <c r="G77" s="17">
        <v>0.49045190368876757</v>
      </c>
      <c r="H77" s="18">
        <v>0.48971940718177026</v>
      </c>
      <c r="I77" s="18">
        <v>9.8756688700031486E-2</v>
      </c>
      <c r="J77" s="19">
        <v>0.11542639790318941</v>
      </c>
      <c r="K77" s="17">
        <v>2.7453980827219944</v>
      </c>
      <c r="L77" s="18">
        <v>2.7167425615632879</v>
      </c>
      <c r="M77" s="18"/>
      <c r="N77" s="19"/>
      <c r="O77" s="17">
        <v>1.05893284496804</v>
      </c>
      <c r="P77" s="18">
        <v>1.0836630815590085</v>
      </c>
      <c r="Q77" s="18">
        <v>1.8459039162089839</v>
      </c>
      <c r="R77" s="19">
        <v>1.8352382419460849</v>
      </c>
      <c r="S77" s="17">
        <v>0</v>
      </c>
      <c r="T77" s="18">
        <v>0</v>
      </c>
      <c r="U77" s="18">
        <v>0</v>
      </c>
      <c r="V77" s="19">
        <v>0</v>
      </c>
      <c r="W77" s="17">
        <v>0</v>
      </c>
      <c r="X77" s="18">
        <v>0</v>
      </c>
      <c r="Y77" s="18">
        <v>0</v>
      </c>
      <c r="Z77" s="19">
        <v>0</v>
      </c>
      <c r="AA77" s="17">
        <v>0</v>
      </c>
      <c r="AB77" s="18">
        <v>0</v>
      </c>
      <c r="AC77" s="18">
        <v>0</v>
      </c>
      <c r="AD77" s="19">
        <v>0</v>
      </c>
    </row>
    <row r="78" spans="1:30">
      <c r="A78" s="22">
        <v>2</v>
      </c>
      <c r="B78" s="23" t="s">
        <v>10</v>
      </c>
      <c r="C78" s="17">
        <v>3.2813864234521151</v>
      </c>
      <c r="D78" s="18">
        <v>3.466915553481499</v>
      </c>
      <c r="E78" s="18">
        <v>3.1405104431735151</v>
      </c>
      <c r="F78" s="19">
        <v>3.3290813136239725</v>
      </c>
      <c r="G78" s="17">
        <v>0.4519036887676432</v>
      </c>
      <c r="H78" s="18">
        <v>0.45281471501376597</v>
      </c>
      <c r="I78" s="18">
        <v>0.23036669814290217</v>
      </c>
      <c r="J78" s="19">
        <v>0.22203283849151714</v>
      </c>
      <c r="K78" s="17">
        <v>5.4840451865520494</v>
      </c>
      <c r="L78" s="18">
        <v>5.3362217604668647</v>
      </c>
      <c r="M78" s="18"/>
      <c r="N78" s="19"/>
      <c r="O78" s="17">
        <v>2.8520914382777711</v>
      </c>
      <c r="P78" s="18">
        <v>2.7063038131635437</v>
      </c>
      <c r="Q78" s="18">
        <v>2.5362267860040184</v>
      </c>
      <c r="R78" s="19">
        <v>2.5509136457213644</v>
      </c>
      <c r="S78" s="17">
        <v>12.76672045902815</v>
      </c>
      <c r="T78" s="18">
        <v>13.412595207133569</v>
      </c>
      <c r="U78" s="18">
        <v>9.444813094448131</v>
      </c>
      <c r="V78" s="19">
        <v>9.6759041803663663</v>
      </c>
      <c r="W78" s="17">
        <v>2.5767005880778697</v>
      </c>
      <c r="X78" s="18">
        <v>2.6106563876955757</v>
      </c>
      <c r="Y78" s="18">
        <v>0</v>
      </c>
      <c r="Z78" s="19">
        <v>0</v>
      </c>
      <c r="AA78" s="17">
        <v>2.8461835997937079</v>
      </c>
      <c r="AB78" s="18">
        <v>2.7865442835690253</v>
      </c>
      <c r="AC78" s="18">
        <v>3.4096261619356132</v>
      </c>
      <c r="AD78" s="19">
        <v>2.9288531054880056</v>
      </c>
    </row>
    <row r="79" spans="1:30">
      <c r="A79" s="12">
        <v>3</v>
      </c>
      <c r="B79" s="24" t="s">
        <v>11</v>
      </c>
      <c r="C79" s="17">
        <v>4.7794925911269406</v>
      </c>
      <c r="D79" s="18">
        <v>3.6652472340508271</v>
      </c>
      <c r="E79" s="18">
        <v>4.8713814214809403</v>
      </c>
      <c r="F79" s="19">
        <v>4.9948725644681247</v>
      </c>
      <c r="G79" s="17">
        <v>1.8283714861819476</v>
      </c>
      <c r="H79" s="18">
        <v>1.8464061859293539</v>
      </c>
      <c r="I79" s="18">
        <v>2.7158089392508655</v>
      </c>
      <c r="J79" s="19">
        <v>2.4839506127196573</v>
      </c>
      <c r="K79" s="17">
        <v>6.6024573563166653</v>
      </c>
      <c r="L79" s="18">
        <v>6.4658030859012321</v>
      </c>
      <c r="M79" s="18"/>
      <c r="N79" s="19"/>
      <c r="O79" s="17">
        <v>4.4885741546393785</v>
      </c>
      <c r="P79" s="18">
        <v>4.4706268640637852</v>
      </c>
      <c r="Q79" s="18">
        <v>4.4208394618036824</v>
      </c>
      <c r="R79" s="19">
        <v>4.5927563162209282</v>
      </c>
      <c r="S79" s="17">
        <v>0</v>
      </c>
      <c r="T79" s="18">
        <v>0</v>
      </c>
      <c r="U79" s="18">
        <v>0</v>
      </c>
      <c r="V79" s="19">
        <v>0</v>
      </c>
      <c r="W79" s="17">
        <v>2.921861811993494</v>
      </c>
      <c r="X79" s="18">
        <v>2.9519862640583092</v>
      </c>
      <c r="Y79" s="18">
        <v>3.218936024402371</v>
      </c>
      <c r="Z79" s="19">
        <v>3.3076455640260751</v>
      </c>
      <c r="AA79" s="17">
        <v>6.1009218669417216</v>
      </c>
      <c r="AB79" s="18">
        <v>6.0709725601676743</v>
      </c>
      <c r="AC79" s="18">
        <v>7.2912360976266219</v>
      </c>
      <c r="AD79" s="19">
        <v>6.2923102201774581</v>
      </c>
    </row>
    <row r="80" spans="1:30">
      <c r="A80" s="22">
        <v>4</v>
      </c>
      <c r="B80" s="25" t="s">
        <v>12</v>
      </c>
      <c r="C80" s="17">
        <v>4.1011048925572089</v>
      </c>
      <c r="D80" s="18">
        <v>4.1422802958123501</v>
      </c>
      <c r="E80" s="18">
        <v>3.7993499785845652</v>
      </c>
      <c r="F80" s="19">
        <v>3.3578449763637739</v>
      </c>
      <c r="G80" s="17">
        <v>23.411813545249672</v>
      </c>
      <c r="H80" s="18">
        <v>23.511803643606115</v>
      </c>
      <c r="I80" s="18">
        <v>16.200818382121501</v>
      </c>
      <c r="J80" s="19">
        <v>15.921090361875262</v>
      </c>
      <c r="K80" s="17">
        <v>2.3470903280975737</v>
      </c>
      <c r="L80" s="18">
        <v>2.2591626508687388</v>
      </c>
      <c r="M80" s="18"/>
      <c r="N80" s="19"/>
      <c r="O80" s="17">
        <v>21.353817533754228</v>
      </c>
      <c r="P80" s="18">
        <v>21.12110312496122</v>
      </c>
      <c r="Q80" s="18">
        <v>15.876049449235488</v>
      </c>
      <c r="R80" s="19">
        <v>15.892780348853325</v>
      </c>
      <c r="S80" s="17">
        <v>23.41760803299265</v>
      </c>
      <c r="T80" s="18">
        <v>24.168679175181122</v>
      </c>
      <c r="U80" s="18">
        <v>35.102853351028536</v>
      </c>
      <c r="V80" s="19">
        <v>37.364960075152645</v>
      </c>
      <c r="W80" s="17">
        <v>9.879296502412009</v>
      </c>
      <c r="X80" s="18">
        <v>9.9440770647009771</v>
      </c>
      <c r="Y80" s="18">
        <v>4.7198968005482485</v>
      </c>
      <c r="Z80" s="19">
        <v>4.8627223511214233</v>
      </c>
      <c r="AA80" s="17">
        <v>1.3183341928829291</v>
      </c>
      <c r="AB80" s="18">
        <v>1.2848619174958043</v>
      </c>
      <c r="AC80" s="18">
        <v>1.5313037710638375</v>
      </c>
      <c r="AD80" s="19">
        <v>1.2906671048307592</v>
      </c>
    </row>
    <row r="81" spans="1:30">
      <c r="A81" s="12">
        <v>5</v>
      </c>
      <c r="B81" s="13" t="s">
        <v>13</v>
      </c>
      <c r="C81" s="17">
        <v>5.0320035678167852</v>
      </c>
      <c r="D81" s="18">
        <v>4.884403741079935</v>
      </c>
      <c r="E81" s="18">
        <v>5.0534126124310292</v>
      </c>
      <c r="F81" s="19">
        <v>5.3612966158925506</v>
      </c>
      <c r="G81" s="17">
        <v>0.72233424267583912</v>
      </c>
      <c r="H81" s="18">
        <v>0.70821861636693806</v>
      </c>
      <c r="I81" s="18">
        <v>4.8013062637708535</v>
      </c>
      <c r="J81" s="19">
        <v>0.59630580976564629</v>
      </c>
      <c r="K81" s="17">
        <v>4.0100814618119625</v>
      </c>
      <c r="L81" s="18">
        <v>3.8883239754188956</v>
      </c>
      <c r="M81" s="18"/>
      <c r="N81" s="19"/>
      <c r="O81" s="17">
        <v>3.2220313642849128</v>
      </c>
      <c r="P81" s="18">
        <v>3.2151117611641618</v>
      </c>
      <c r="Q81" s="18">
        <v>2.8214236328983255</v>
      </c>
      <c r="R81" s="19">
        <v>2.8711130044333881</v>
      </c>
      <c r="S81" s="17">
        <v>13.376367222521068</v>
      </c>
      <c r="T81" s="18">
        <v>13.858443247259892</v>
      </c>
      <c r="U81" s="18">
        <v>10.174740101747402</v>
      </c>
      <c r="V81" s="19">
        <v>11.061531235321745</v>
      </c>
      <c r="W81" s="17">
        <v>2.5890522819754467</v>
      </c>
      <c r="X81" s="18">
        <v>2.569972624654361</v>
      </c>
      <c r="Y81" s="18">
        <v>1.7508969483599621</v>
      </c>
      <c r="Z81" s="19">
        <v>1.8078112915699927</v>
      </c>
      <c r="AA81" s="17">
        <v>2.106433728726147</v>
      </c>
      <c r="AB81" s="18">
        <v>2.0943249255181611</v>
      </c>
      <c r="AC81" s="18">
        <v>11.10844091551394</v>
      </c>
      <c r="AD81" s="19">
        <v>9.5226749917844238</v>
      </c>
    </row>
    <row r="82" spans="1:30">
      <c r="A82" s="22">
        <v>6</v>
      </c>
      <c r="B82" s="25" t="s">
        <v>14</v>
      </c>
      <c r="C82" s="17">
        <v>13.442126619807668</v>
      </c>
      <c r="D82" s="18">
        <v>13.80544051021797</v>
      </c>
      <c r="E82" s="18">
        <v>13.238517548058754</v>
      </c>
      <c r="F82" s="19">
        <v>13.268802681273609</v>
      </c>
      <c r="G82" s="17">
        <v>17.50978531609536</v>
      </c>
      <c r="H82" s="18">
        <v>17.46997832581571</v>
      </c>
      <c r="I82" s="18">
        <v>4.4385426502990253</v>
      </c>
      <c r="J82" s="19">
        <v>4.3344338056470102</v>
      </c>
      <c r="K82" s="17">
        <v>6.3009136324767079</v>
      </c>
      <c r="L82" s="18">
        <v>6.1209602546531681</v>
      </c>
      <c r="M82" s="18"/>
      <c r="N82" s="19"/>
      <c r="O82" s="17">
        <v>4.0232986276016929</v>
      </c>
      <c r="P82" s="18">
        <v>3.9872930540433047</v>
      </c>
      <c r="Q82" s="18">
        <v>4.5173801721603617</v>
      </c>
      <c r="R82" s="19">
        <v>4.639923694664672</v>
      </c>
      <c r="S82" s="17">
        <v>13.91429083736776</v>
      </c>
      <c r="T82" s="18">
        <v>14.341445290730077</v>
      </c>
      <c r="U82" s="18">
        <v>26.963061269630618</v>
      </c>
      <c r="V82" s="19">
        <v>28.745890089243769</v>
      </c>
      <c r="W82" s="17">
        <v>23.849748505788135</v>
      </c>
      <c r="X82" s="18">
        <v>23.942049772101974</v>
      </c>
      <c r="Y82" s="18">
        <v>17.396095083244877</v>
      </c>
      <c r="Z82" s="19">
        <v>17.875787205833614</v>
      </c>
      <c r="AA82" s="17">
        <v>3.9453326456936564</v>
      </c>
      <c r="AB82" s="18">
        <v>3.9196318870606381</v>
      </c>
      <c r="AC82" s="18">
        <v>4.9226657951148232</v>
      </c>
      <c r="AD82" s="19">
        <v>4.2121261912586263</v>
      </c>
    </row>
    <row r="83" spans="1:30">
      <c r="A83" s="12">
        <v>7</v>
      </c>
      <c r="B83" s="13" t="s">
        <v>15</v>
      </c>
      <c r="C83" s="17">
        <v>9.3328559493973042</v>
      </c>
      <c r="D83" s="18">
        <v>9.6664009281404137</v>
      </c>
      <c r="E83" s="18">
        <v>9.4360182409110376</v>
      </c>
      <c r="F83" s="19">
        <v>9.3875841024486668</v>
      </c>
      <c r="G83" s="17">
        <v>3.0245522476574545</v>
      </c>
      <c r="H83" s="18">
        <v>3.0349715892449183</v>
      </c>
      <c r="I83" s="18">
        <v>1.0680280138495437</v>
      </c>
      <c r="J83" s="19">
        <v>1.0407549631536748</v>
      </c>
      <c r="K83" s="17">
        <v>9.7394122147711428</v>
      </c>
      <c r="L83" s="18">
        <v>9.4500198947787268</v>
      </c>
      <c r="M83" s="18"/>
      <c r="N83" s="19"/>
      <c r="O83" s="17">
        <v>3.2139540733240586</v>
      </c>
      <c r="P83" s="18">
        <v>3.2265273241000729</v>
      </c>
      <c r="Q83" s="18">
        <v>3.047206464852926</v>
      </c>
      <c r="R83" s="19">
        <v>3.0514120651284617</v>
      </c>
      <c r="S83" s="17">
        <v>5.0385511923973469</v>
      </c>
      <c r="T83" s="18">
        <v>4.8485974363737689</v>
      </c>
      <c r="U83" s="18">
        <v>0</v>
      </c>
      <c r="V83" s="19">
        <v>0</v>
      </c>
      <c r="W83" s="17">
        <v>4.2448654694672978</v>
      </c>
      <c r="X83" s="18">
        <v>4.2738637852448971</v>
      </c>
      <c r="Y83" s="18">
        <v>4.1716497131108996</v>
      </c>
      <c r="Z83" s="19">
        <v>0.16641807535078998</v>
      </c>
      <c r="AA83" s="17">
        <v>13.604789840123773</v>
      </c>
      <c r="AB83" s="18">
        <v>13.515141294658989</v>
      </c>
      <c r="AC83" s="18">
        <v>15.915754260831108</v>
      </c>
      <c r="AD83" s="19">
        <v>13.104666447584624</v>
      </c>
    </row>
    <row r="84" spans="1:30">
      <c r="A84" s="22">
        <v>8</v>
      </c>
      <c r="B84" s="25" t="s">
        <v>16</v>
      </c>
      <c r="C84" s="17">
        <v>4.0244722080891462</v>
      </c>
      <c r="D84" s="18">
        <v>4.1234841561505506</v>
      </c>
      <c r="E84" s="18">
        <v>4.2093925575067397</v>
      </c>
      <c r="F84" s="19">
        <v>4.2057477301718329</v>
      </c>
      <c r="G84" s="17">
        <v>1.6474914007828252</v>
      </c>
      <c r="H84" s="18">
        <v>1.6513385273270458</v>
      </c>
      <c r="I84" s="18">
        <v>1.6826015108593015</v>
      </c>
      <c r="J84" s="19">
        <v>1.6462642066391766</v>
      </c>
      <c r="K84" s="17">
        <v>6.5394482199918986</v>
      </c>
      <c r="L84" s="18">
        <v>6.3375922896679784</v>
      </c>
      <c r="M84" s="18"/>
      <c r="N84" s="19"/>
      <c r="O84" s="17">
        <v>7.1136701492246752</v>
      </c>
      <c r="P84" s="18">
        <v>7.1265728614189134</v>
      </c>
      <c r="Q84" s="18">
        <v>5.5066881533965484</v>
      </c>
      <c r="R84" s="19">
        <v>5.5106570730925366</v>
      </c>
      <c r="S84" s="17">
        <v>8.6247086247086244</v>
      </c>
      <c r="T84" s="18">
        <v>8.9355378041984022</v>
      </c>
      <c r="U84" s="18">
        <v>8.8918380889183819</v>
      </c>
      <c r="V84" s="19">
        <v>9.4410521371535925</v>
      </c>
      <c r="W84" s="17">
        <v>1.642775288377742</v>
      </c>
      <c r="X84" s="18">
        <v>1.5646009888223091</v>
      </c>
      <c r="Y84" s="18">
        <v>1.6528037194802405</v>
      </c>
      <c r="Z84" s="19">
        <v>2.4424096784885654</v>
      </c>
      <c r="AA84" s="17">
        <v>4.6101405363589478</v>
      </c>
      <c r="AB84" s="18">
        <v>4.4705164341869637</v>
      </c>
      <c r="AC84" s="18">
        <v>0.44506820213594284</v>
      </c>
      <c r="AD84" s="19">
        <v>4.7140979296746641</v>
      </c>
    </row>
    <row r="85" spans="1:30">
      <c r="A85" s="12">
        <v>9</v>
      </c>
      <c r="B85" s="13" t="s">
        <v>17</v>
      </c>
      <c r="C85" s="17">
        <v>29.949560618337827</v>
      </c>
      <c r="D85" s="18">
        <v>30.923538600141292</v>
      </c>
      <c r="E85" s="18">
        <v>29.601169030762641</v>
      </c>
      <c r="F85" s="19">
        <v>29.481503714264285</v>
      </c>
      <c r="G85" s="17">
        <v>5.3611671213379193</v>
      </c>
      <c r="H85" s="18">
        <v>5.375783492472614</v>
      </c>
      <c r="I85" s="18">
        <v>9.5418240478438783</v>
      </c>
      <c r="J85" s="19">
        <v>9.3322817919336121</v>
      </c>
      <c r="K85" s="17">
        <v>23.248120977541742</v>
      </c>
      <c r="L85" s="18">
        <v>22.72204783589018</v>
      </c>
      <c r="M85" s="18"/>
      <c r="N85" s="19"/>
      <c r="O85" s="17">
        <v>42.018067578365802</v>
      </c>
      <c r="P85" s="18">
        <v>42.300368459019325</v>
      </c>
      <c r="Q85" s="18">
        <v>50.755463563473633</v>
      </c>
      <c r="R85" s="19">
        <v>50.55722381556722</v>
      </c>
      <c r="S85" s="17">
        <v>0</v>
      </c>
      <c r="T85" s="18">
        <v>0</v>
      </c>
      <c r="U85" s="18">
        <v>0</v>
      </c>
      <c r="V85" s="19">
        <v>0</v>
      </c>
      <c r="W85" s="17">
        <v>31.190771912248067</v>
      </c>
      <c r="X85" s="18">
        <v>31.1547982705953</v>
      </c>
      <c r="Y85" s="18">
        <v>26.445531383114528</v>
      </c>
      <c r="Z85" s="19">
        <v>27.295326483261523</v>
      </c>
      <c r="AA85" s="17">
        <v>15.337319494584836</v>
      </c>
      <c r="AB85" s="18">
        <v>15.187067864800404</v>
      </c>
      <c r="AC85" s="18">
        <v>18.459275778869351</v>
      </c>
      <c r="AD85" s="19">
        <v>15.819093000328625</v>
      </c>
    </row>
    <row r="86" spans="1:30">
      <c r="A86" s="22">
        <v>10</v>
      </c>
      <c r="B86" s="26" t="s">
        <v>18</v>
      </c>
      <c r="C86" s="17">
        <v>0.29145545568181114</v>
      </c>
      <c r="D86" s="18">
        <v>0.30009009184182722</v>
      </c>
      <c r="E86" s="18">
        <v>0.24438789650046608</v>
      </c>
      <c r="F86" s="19">
        <v>0</v>
      </c>
      <c r="G86" s="17">
        <v>6.1843197722690073</v>
      </c>
      <c r="H86" s="18">
        <v>6.116806279655556</v>
      </c>
      <c r="I86" s="18">
        <v>7.9687991816178787</v>
      </c>
      <c r="J86" s="19">
        <v>14.222181170214409</v>
      </c>
      <c r="K86" s="17">
        <v>0</v>
      </c>
      <c r="L86" s="18">
        <v>0</v>
      </c>
      <c r="M86" s="18"/>
      <c r="N86" s="19"/>
      <c r="O86" s="17">
        <v>0</v>
      </c>
      <c r="P86" s="18">
        <v>0</v>
      </c>
      <c r="Q86" s="18">
        <v>0</v>
      </c>
      <c r="R86" s="19">
        <v>0</v>
      </c>
      <c r="S86" s="17">
        <v>0</v>
      </c>
      <c r="T86" s="18">
        <v>0</v>
      </c>
      <c r="U86" s="18">
        <v>0</v>
      </c>
      <c r="V86" s="19">
        <v>0</v>
      </c>
      <c r="W86" s="17">
        <v>2.0400881087498024</v>
      </c>
      <c r="X86" s="18">
        <v>1.9983312761600049</v>
      </c>
      <c r="Y86" s="18">
        <v>1.6958034910439543</v>
      </c>
      <c r="Z86" s="19">
        <v>1.7532593083637174</v>
      </c>
      <c r="AA86" s="17">
        <v>2.3586578133058271</v>
      </c>
      <c r="AB86" s="18">
        <v>2.5159202421964717</v>
      </c>
      <c r="AC86" s="18">
        <v>2.2051543319651246</v>
      </c>
      <c r="AD86" s="19">
        <v>2.1105816628327312</v>
      </c>
    </row>
    <row r="87" spans="1:30">
      <c r="A87" s="12">
        <v>11</v>
      </c>
      <c r="B87" s="27" t="s">
        <v>19</v>
      </c>
      <c r="C87" s="17">
        <v>0</v>
      </c>
      <c r="D87" s="18">
        <v>0</v>
      </c>
      <c r="E87" s="18">
        <v>0</v>
      </c>
      <c r="F87" s="19">
        <v>0.36017108126360031</v>
      </c>
      <c r="G87" s="17">
        <v>3.6858023959198198</v>
      </c>
      <c r="H87" s="18">
        <v>3.6699666100404191</v>
      </c>
      <c r="I87" s="18">
        <v>1.7730956877557447</v>
      </c>
      <c r="J87" s="19">
        <v>1.7018682853633043</v>
      </c>
      <c r="K87" s="17">
        <v>0</v>
      </c>
      <c r="L87" s="18">
        <v>0</v>
      </c>
      <c r="M87" s="18"/>
      <c r="N87" s="19"/>
      <c r="O87" s="17">
        <v>0</v>
      </c>
      <c r="P87" s="18">
        <v>0</v>
      </c>
      <c r="Q87" s="18">
        <v>0</v>
      </c>
      <c r="R87" s="19">
        <v>0</v>
      </c>
      <c r="S87" s="17">
        <v>4.1958041958041958</v>
      </c>
      <c r="T87" s="18">
        <v>4.3470183912316553</v>
      </c>
      <c r="U87" s="18">
        <v>3.5832780358327807</v>
      </c>
      <c r="V87" s="19">
        <v>3.7106622827618589</v>
      </c>
      <c r="W87" s="17">
        <v>4.2620205998805991</v>
      </c>
      <c r="X87" s="18">
        <v>4.302135552782012</v>
      </c>
      <c r="Y87" s="18">
        <v>3.6092933256292086</v>
      </c>
      <c r="Z87" s="19">
        <v>3.7848027842227383</v>
      </c>
      <c r="AA87" s="17">
        <v>4.5875773594636406</v>
      </c>
      <c r="AB87" s="18">
        <v>4.5636689232054088</v>
      </c>
      <c r="AC87" s="18">
        <v>4.821732401541877</v>
      </c>
      <c r="AD87" s="19">
        <v>3.962372658560632</v>
      </c>
    </row>
    <row r="88" spans="1:30">
      <c r="A88" s="22">
        <v>12</v>
      </c>
      <c r="B88" s="25" t="s">
        <v>20</v>
      </c>
      <c r="C88" s="17">
        <v>3.3008586629480972</v>
      </c>
      <c r="D88" s="18">
        <v>3.3897865665934264</v>
      </c>
      <c r="E88" s="18">
        <v>3.320022171273084</v>
      </c>
      <c r="F88" s="19">
        <v>3.4128711137790466</v>
      </c>
      <c r="G88" s="17">
        <v>17.843672162258333</v>
      </c>
      <c r="H88" s="18">
        <v>17.848983656493466</v>
      </c>
      <c r="I88" s="18">
        <v>20.034820585457979</v>
      </c>
      <c r="J88" s="19">
        <v>19.55557101087075</v>
      </c>
      <c r="K88" s="17">
        <v>1.8250146271209324</v>
      </c>
      <c r="L88" s="18">
        <v>1.9010566338034396</v>
      </c>
      <c r="M88" s="18"/>
      <c r="N88" s="19"/>
      <c r="O88" s="17">
        <v>0.61387411302495221</v>
      </c>
      <c r="P88" s="18">
        <v>0.60747102766099426</v>
      </c>
      <c r="Q88" s="18">
        <v>0.48345102567378162</v>
      </c>
      <c r="R88" s="19">
        <v>0.4819368257441759</v>
      </c>
      <c r="S88" s="17">
        <v>0</v>
      </c>
      <c r="T88" s="18">
        <v>0</v>
      </c>
      <c r="U88" s="18">
        <v>0</v>
      </c>
      <c r="V88" s="19">
        <v>0</v>
      </c>
      <c r="W88" s="17">
        <v>0.59837094881595265</v>
      </c>
      <c r="X88" s="18">
        <v>0.58267423338688895</v>
      </c>
      <c r="Y88" s="18">
        <v>0.84991735981402616</v>
      </c>
      <c r="Z88" s="19">
        <v>0.79480167937244517</v>
      </c>
      <c r="AA88" s="17">
        <v>3.8309051057245997</v>
      </c>
      <c r="AB88" s="18">
        <v>3.9196318870606381</v>
      </c>
      <c r="AC88" s="18">
        <v>5.0822366840015754</v>
      </c>
      <c r="AD88" s="19">
        <v>4.3862964180085449</v>
      </c>
    </row>
    <row r="89" spans="1:30">
      <c r="A89" s="12">
        <v>13</v>
      </c>
      <c r="B89" s="13" t="s">
        <v>21</v>
      </c>
      <c r="C89" s="17">
        <v>1.4202172096908943</v>
      </c>
      <c r="D89" s="18">
        <v>0.21453524924329334</v>
      </c>
      <c r="E89" s="18">
        <v>1.1809982111813759</v>
      </c>
      <c r="F89" s="19">
        <v>1.2518446261974441</v>
      </c>
      <c r="G89" s="17">
        <v>0.26509310876527103</v>
      </c>
      <c r="H89" s="18">
        <v>0.27004862046745942</v>
      </c>
      <c r="I89" s="18">
        <v>0.28249921309411397</v>
      </c>
      <c r="J89" s="19">
        <v>0.26287307562337653</v>
      </c>
      <c r="K89" s="17">
        <v>2.4033484855304019</v>
      </c>
      <c r="L89" s="18">
        <v>2.464742031035855</v>
      </c>
      <c r="M89" s="18"/>
      <c r="N89" s="19"/>
      <c r="O89" s="17">
        <v>1.3577926105196638</v>
      </c>
      <c r="P89" s="18">
        <v>1.3560057973157496</v>
      </c>
      <c r="Q89" s="18">
        <v>1.3288439957022657</v>
      </c>
      <c r="R89" s="19">
        <v>1.3167812916166224</v>
      </c>
      <c r="S89" s="17">
        <v>4.088219472834858</v>
      </c>
      <c r="T89" s="18">
        <v>3.5482073193386587</v>
      </c>
      <c r="U89" s="18">
        <v>0</v>
      </c>
      <c r="V89" s="19">
        <v>0</v>
      </c>
      <c r="W89" s="17">
        <v>1.8561851107192113</v>
      </c>
      <c r="X89" s="18">
        <v>1.6921687203922195</v>
      </c>
      <c r="Y89" s="18">
        <v>2.563861379486422</v>
      </c>
      <c r="Z89" s="19">
        <v>2.5031764445917584</v>
      </c>
      <c r="AA89" s="17">
        <v>1.0274303764827228</v>
      </c>
      <c r="AB89" s="18">
        <v>1.1258602552056982</v>
      </c>
      <c r="AC89" s="18">
        <v>1.2304261311749605</v>
      </c>
      <c r="AD89" s="19">
        <v>1.0499507065395992</v>
      </c>
    </row>
    <row r="90" spans="1:30">
      <c r="A90" s="22">
        <v>14</v>
      </c>
      <c r="B90" s="25" t="s">
        <v>22</v>
      </c>
      <c r="C90" s="17">
        <v>5.3711974171016532</v>
      </c>
      <c r="D90" s="18">
        <v>5.5014356361845129</v>
      </c>
      <c r="E90" s="18">
        <v>5.2310347433927085</v>
      </c>
      <c r="F90" s="19">
        <v>5.0173832570470989</v>
      </c>
      <c r="G90" s="17">
        <v>1.0182659233780098</v>
      </c>
      <c r="H90" s="18">
        <v>1.0116571964149728</v>
      </c>
      <c r="I90" s="18">
        <v>0.29528643374252439</v>
      </c>
      <c r="J90" s="19">
        <v>0.28453949250553667</v>
      </c>
      <c r="K90" s="17">
        <v>9.22408749268644</v>
      </c>
      <c r="L90" s="18">
        <v>10.091073875945003</v>
      </c>
      <c r="M90" s="18"/>
      <c r="N90" s="19"/>
      <c r="O90" s="17">
        <v>2.4393418701780991</v>
      </c>
      <c r="P90" s="18">
        <v>2.444561262990149</v>
      </c>
      <c r="Q90" s="18">
        <v>1.902780507464723</v>
      </c>
      <c r="R90" s="19">
        <v>1.8995488716831612</v>
      </c>
      <c r="S90" s="17">
        <v>10.399856553702707</v>
      </c>
      <c r="T90" s="18">
        <v>8.2667657440089162</v>
      </c>
      <c r="U90" s="18">
        <v>5.8394160583941614</v>
      </c>
      <c r="V90" s="19">
        <v>0</v>
      </c>
      <c r="W90" s="17">
        <v>5.8265684935736859</v>
      </c>
      <c r="X90" s="18">
        <v>5.8412229952903392</v>
      </c>
      <c r="Y90" s="18">
        <v>7.8501457961004588</v>
      </c>
      <c r="Z90" s="19">
        <v>9.5390012153353236</v>
      </c>
      <c r="AA90" s="17">
        <v>9.3903107271789583</v>
      </c>
      <c r="AB90" s="18">
        <v>9.471038409340947</v>
      </c>
      <c r="AC90" s="18">
        <v>2.383950629151486</v>
      </c>
      <c r="AD90" s="19">
        <v>2.0489648373315812</v>
      </c>
    </row>
    <row r="91" spans="1:30">
      <c r="A91" s="12">
        <v>15</v>
      </c>
      <c r="B91" s="13" t="s">
        <v>23</v>
      </c>
      <c r="C91" s="17">
        <v>1.5873015873015879</v>
      </c>
      <c r="D91" s="18">
        <v>1.6300790086008543</v>
      </c>
      <c r="E91" s="18">
        <v>1.637650852838175</v>
      </c>
      <c r="F91" s="19">
        <v>1.6326505089917718</v>
      </c>
      <c r="G91" s="17">
        <v>8.1579883762305787</v>
      </c>
      <c r="H91" s="18">
        <v>8.2022142815300807</v>
      </c>
      <c r="I91" s="18">
        <v>14.823929807994965</v>
      </c>
      <c r="J91" s="19">
        <v>14.450157892983334</v>
      </c>
      <c r="K91" s="17">
        <v>0</v>
      </c>
      <c r="L91" s="18">
        <v>0</v>
      </c>
      <c r="M91" s="18"/>
      <c r="N91" s="19"/>
      <c r="O91" s="17">
        <v>1.1833231257652037</v>
      </c>
      <c r="P91" s="18">
        <v>1.2124958632642933</v>
      </c>
      <c r="Q91" s="18">
        <v>0.90744016048929044</v>
      </c>
      <c r="R91" s="19">
        <v>0.87158787634585011</v>
      </c>
      <c r="S91" s="17">
        <v>0</v>
      </c>
      <c r="T91" s="18">
        <v>0</v>
      </c>
      <c r="U91" s="18">
        <v>0</v>
      </c>
      <c r="V91" s="19">
        <v>0</v>
      </c>
      <c r="W91" s="17">
        <v>2.9911685388632314</v>
      </c>
      <c r="X91" s="18">
        <v>3.0188731287192896</v>
      </c>
      <c r="Y91" s="18">
        <v>10.172805331971677</v>
      </c>
      <c r="Z91" s="19">
        <v>9.942962103634958</v>
      </c>
      <c r="AA91" s="17">
        <v>9.3895048994326942</v>
      </c>
      <c r="AB91" s="18">
        <v>9.3859163073068483</v>
      </c>
      <c r="AC91" s="18">
        <v>10.871968393428753</v>
      </c>
      <c r="AD91" s="19">
        <v>9.2573118632928058</v>
      </c>
    </row>
    <row r="92" spans="1:30">
      <c r="A92" s="22">
        <v>16</v>
      </c>
      <c r="B92" s="25" t="s">
        <v>24</v>
      </c>
      <c r="C92" s="17">
        <v>9.5941608406982386</v>
      </c>
      <c r="D92" s="18">
        <v>9.9107507437438009</v>
      </c>
      <c r="E92" s="18">
        <v>10.084779924920007</v>
      </c>
      <c r="F92" s="19">
        <v>10.038518296190693</v>
      </c>
      <c r="G92" s="17">
        <v>8.2629581307081015</v>
      </c>
      <c r="H92" s="18">
        <v>8.2063148028820816</v>
      </c>
      <c r="I92" s="18">
        <v>13.933152344979543</v>
      </c>
      <c r="J92" s="19">
        <v>13.71848491225481</v>
      </c>
      <c r="K92" s="17">
        <v>13.389441469013006</v>
      </c>
      <c r="L92" s="18">
        <v>13.917502984216808</v>
      </c>
      <c r="M92" s="18"/>
      <c r="N92" s="19"/>
      <c r="O92" s="17">
        <v>3.3205743140073394</v>
      </c>
      <c r="P92" s="18">
        <v>3.3830836157925712</v>
      </c>
      <c r="Q92" s="18">
        <v>2.6309732288450176</v>
      </c>
      <c r="R92" s="19">
        <v>2.551530783106577</v>
      </c>
      <c r="S92" s="17">
        <v>4.1778734086426397</v>
      </c>
      <c r="T92" s="18">
        <v>4.2727103845439345</v>
      </c>
      <c r="U92" s="18">
        <v>0</v>
      </c>
      <c r="V92" s="19">
        <v>0</v>
      </c>
      <c r="W92" s="17">
        <v>3.5305258390574275</v>
      </c>
      <c r="X92" s="18">
        <v>3.5525889353955646</v>
      </c>
      <c r="Y92" s="18">
        <v>9.0487644284389752</v>
      </c>
      <c r="Z92" s="19">
        <v>9.0756546237984779</v>
      </c>
      <c r="AA92" s="17">
        <v>11.992328519855594</v>
      </c>
      <c r="AB92" s="18">
        <v>12.630995687682189</v>
      </c>
      <c r="AC92" s="18">
        <v>1.5514904497784268</v>
      </c>
      <c r="AD92" s="19">
        <v>11.703910614525141</v>
      </c>
    </row>
    <row r="93" spans="1:30" ht="16" thickBot="1">
      <c r="A93" s="12">
        <v>17</v>
      </c>
      <c r="B93" s="13" t="s">
        <v>25</v>
      </c>
      <c r="C93" s="31">
        <v>4.2223352868386517</v>
      </c>
      <c r="D93" s="32">
        <v>4.3756116847174429</v>
      </c>
      <c r="E93" s="32">
        <v>4.548260310901715</v>
      </c>
      <c r="F93" s="33">
        <v>4.4502388634601449</v>
      </c>
      <c r="G93" s="31">
        <v>0.13402917803344799</v>
      </c>
      <c r="H93" s="32">
        <v>0.13297404955772948</v>
      </c>
      <c r="I93" s="32">
        <v>0.11036355051935792</v>
      </c>
      <c r="J93" s="33">
        <v>0.11178337205574654</v>
      </c>
      <c r="K93" s="31">
        <v>6.1411404653674779</v>
      </c>
      <c r="L93" s="32">
        <v>6.3287501657898231</v>
      </c>
      <c r="M93" s="32"/>
      <c r="N93" s="33"/>
      <c r="O93" s="31">
        <v>1.7406562020641732</v>
      </c>
      <c r="P93" s="32">
        <v>1.7588120894829058</v>
      </c>
      <c r="Q93" s="32">
        <v>1.4193294817909414</v>
      </c>
      <c r="R93" s="33">
        <v>1.3765961458756515</v>
      </c>
      <c r="S93" s="31">
        <v>0</v>
      </c>
      <c r="T93" s="32">
        <v>0</v>
      </c>
      <c r="U93" s="32">
        <v>0</v>
      </c>
      <c r="V93" s="41">
        <v>0</v>
      </c>
      <c r="W93" s="31">
        <v>0</v>
      </c>
      <c r="X93" s="32">
        <v>0</v>
      </c>
      <c r="Y93" s="32">
        <v>4.85359921525417</v>
      </c>
      <c r="Z93" s="33">
        <v>4.8482211910286166</v>
      </c>
      <c r="AA93" s="31">
        <v>7.5538292934502316</v>
      </c>
      <c r="AB93" s="32">
        <v>7.0579071205441393</v>
      </c>
      <c r="AC93" s="32">
        <v>8.7696699958665345</v>
      </c>
      <c r="AD93" s="33">
        <v>7.5961222477817962</v>
      </c>
    </row>
    <row r="94" spans="1:30">
      <c r="C94" s="45">
        <v>100.00000000000001</v>
      </c>
      <c r="D94" s="45">
        <v>100.00000000000001</v>
      </c>
      <c r="E94" s="45">
        <v>100.00000000000001</v>
      </c>
      <c r="F94" s="45">
        <v>100.00000000000001</v>
      </c>
      <c r="G94" s="45">
        <v>100.00000000000001</v>
      </c>
      <c r="H94" s="45">
        <v>100.00000000000001</v>
      </c>
      <c r="I94" s="45">
        <v>100.00000000000001</v>
      </c>
      <c r="J94" s="45">
        <v>100.00000000000001</v>
      </c>
      <c r="K94" s="45">
        <v>100.00000000000001</v>
      </c>
      <c r="L94" s="45">
        <v>100.00000000000001</v>
      </c>
      <c r="M94" s="45"/>
      <c r="N94" s="45"/>
      <c r="O94" s="45">
        <v>100.00000000000001</v>
      </c>
      <c r="P94" s="45">
        <v>100.00000000000001</v>
      </c>
      <c r="Q94" s="45">
        <v>100.00000000000001</v>
      </c>
      <c r="R94" s="45">
        <v>100.00000000000001</v>
      </c>
      <c r="S94" s="45">
        <v>100.00000000000001</v>
      </c>
      <c r="T94" s="45">
        <v>100.00000000000001</v>
      </c>
      <c r="U94" s="45">
        <v>100.00000000000001</v>
      </c>
      <c r="V94" s="45">
        <v>100.00000000000001</v>
      </c>
      <c r="W94" s="45">
        <v>100.00000000000001</v>
      </c>
      <c r="X94" s="45">
        <v>100.00000000000001</v>
      </c>
      <c r="Y94" s="45">
        <v>100.00000000000001</v>
      </c>
      <c r="Z94" s="45">
        <v>100.00000000000001</v>
      </c>
      <c r="AA94" s="45">
        <v>100.00000000000001</v>
      </c>
      <c r="AB94" s="45">
        <v>100</v>
      </c>
      <c r="AC94" s="45">
        <v>99.999999999999986</v>
      </c>
      <c r="AD94" s="45">
        <v>100.00000000000001</v>
      </c>
    </row>
    <row r="95" spans="1:30">
      <c r="AB95" s="45"/>
    </row>
    <row r="96" spans="1:30">
      <c r="AB96" s="45"/>
    </row>
    <row r="97" spans="1:28" ht="16" thickBot="1">
      <c r="AB97" s="45"/>
    </row>
    <row r="98" spans="1:28" ht="26" thickBot="1">
      <c r="A98" s="1" t="s">
        <v>45</v>
      </c>
      <c r="C98" s="46" t="s">
        <v>1</v>
      </c>
      <c r="D98" s="47"/>
      <c r="E98" s="47" t="s">
        <v>2</v>
      </c>
      <c r="F98" s="48"/>
      <c r="G98" s="46" t="s">
        <v>1</v>
      </c>
      <c r="H98" s="47"/>
      <c r="I98" s="47" t="s">
        <v>2</v>
      </c>
      <c r="J98" s="48"/>
      <c r="M98" s="1" t="s">
        <v>46</v>
      </c>
      <c r="O98" s="46" t="s">
        <v>1</v>
      </c>
      <c r="P98" s="47"/>
      <c r="Q98" s="47" t="s">
        <v>2</v>
      </c>
      <c r="R98" s="48"/>
      <c r="S98" s="46" t="s">
        <v>1</v>
      </c>
      <c r="T98" s="47"/>
      <c r="U98" s="47" t="s">
        <v>2</v>
      </c>
      <c r="V98" s="48"/>
    </row>
    <row r="99" spans="1:28" ht="16" thickBot="1">
      <c r="C99" s="52" t="s">
        <v>47</v>
      </c>
      <c r="D99" s="53"/>
      <c r="E99" s="53"/>
      <c r="F99" s="53"/>
      <c r="G99" s="52" t="s">
        <v>48</v>
      </c>
      <c r="H99" s="53"/>
      <c r="I99" s="53"/>
      <c r="J99" s="53"/>
      <c r="O99" s="52" t="s">
        <v>46</v>
      </c>
      <c r="P99" s="53"/>
      <c r="Q99" s="53"/>
      <c r="R99" s="53"/>
      <c r="S99" s="52" t="s">
        <v>46</v>
      </c>
      <c r="T99" s="53"/>
      <c r="U99" s="53"/>
      <c r="V99" s="53"/>
      <c r="W99" s="2"/>
      <c r="X99" s="2"/>
      <c r="Y99" s="2"/>
      <c r="Z99" s="2"/>
      <c r="AA99" s="42"/>
    </row>
    <row r="100" spans="1:28">
      <c r="A100" s="3" t="s">
        <v>6</v>
      </c>
      <c r="B100" s="4" t="s">
        <v>7</v>
      </c>
      <c r="C100" s="8" t="s">
        <v>8</v>
      </c>
      <c r="D100" s="9" t="s">
        <v>8</v>
      </c>
      <c r="E100" s="9" t="s">
        <v>8</v>
      </c>
      <c r="F100" s="10" t="s">
        <v>8</v>
      </c>
      <c r="G100" s="8" t="s">
        <v>8</v>
      </c>
      <c r="H100" s="9" t="s">
        <v>8</v>
      </c>
      <c r="I100" s="9" t="s">
        <v>8</v>
      </c>
      <c r="J100" s="10" t="s">
        <v>8</v>
      </c>
      <c r="M100" s="3" t="s">
        <v>6</v>
      </c>
      <c r="N100" s="4" t="s">
        <v>7</v>
      </c>
      <c r="O100" s="8" t="s">
        <v>8</v>
      </c>
      <c r="P100" s="9" t="s">
        <v>8</v>
      </c>
      <c r="Q100" s="9" t="s">
        <v>8</v>
      </c>
      <c r="R100" s="9" t="s">
        <v>8</v>
      </c>
      <c r="S100" s="8" t="s">
        <v>8</v>
      </c>
      <c r="T100" s="9" t="s">
        <v>8</v>
      </c>
      <c r="U100" s="9" t="s">
        <v>8</v>
      </c>
      <c r="V100" s="10" t="s">
        <v>8</v>
      </c>
      <c r="W100" s="11"/>
      <c r="X100" s="11"/>
      <c r="Y100" s="42"/>
      <c r="Z100" s="42"/>
      <c r="AA100" s="42"/>
    </row>
    <row r="101" spans="1:28">
      <c r="A101" s="12">
        <v>1</v>
      </c>
      <c r="B101" s="13" t="s">
        <v>9</v>
      </c>
      <c r="C101" s="17">
        <v>0.13841245071020875</v>
      </c>
      <c r="D101" s="18">
        <v>0.14080196606260195</v>
      </c>
      <c r="E101" s="18">
        <v>9.8589165208764776E-2</v>
      </c>
      <c r="F101" s="19">
        <v>0.10056800052774639</v>
      </c>
      <c r="G101" s="17">
        <v>0.10784870110017554</v>
      </c>
      <c r="H101" s="18">
        <v>0.10700104036121665</v>
      </c>
      <c r="I101" s="18">
        <v>0.10198068367944194</v>
      </c>
      <c r="J101" s="19">
        <v>0.10171240305078587</v>
      </c>
      <c r="M101" s="12">
        <v>1</v>
      </c>
      <c r="N101" s="13" t="s">
        <v>9</v>
      </c>
      <c r="O101" s="17">
        <v>0</v>
      </c>
      <c r="P101" s="18">
        <v>0</v>
      </c>
      <c r="Q101" s="18">
        <v>6.1646072528148501</v>
      </c>
      <c r="R101" s="18">
        <v>6.6061778258148918</v>
      </c>
      <c r="S101" s="17">
        <v>0</v>
      </c>
      <c r="T101" s="18">
        <v>0</v>
      </c>
      <c r="U101" s="18">
        <v>0</v>
      </c>
      <c r="V101" s="19">
        <v>0</v>
      </c>
      <c r="W101" s="21"/>
      <c r="X101" s="21"/>
      <c r="Y101" s="42"/>
      <c r="Z101" s="42"/>
      <c r="AA101" s="42"/>
    </row>
    <row r="102" spans="1:28">
      <c r="A102" s="22">
        <v>2</v>
      </c>
      <c r="B102" s="23" t="s">
        <v>10</v>
      </c>
      <c r="C102" s="17">
        <v>30.62225108003037</v>
      </c>
      <c r="D102" s="18">
        <v>30.494360212517307</v>
      </c>
      <c r="E102" s="18">
        <v>30.418681213902865</v>
      </c>
      <c r="F102" s="19">
        <v>30.430692222875916</v>
      </c>
      <c r="G102" s="17">
        <v>27.159391115690063</v>
      </c>
      <c r="H102" s="18">
        <v>27.117410356107474</v>
      </c>
      <c r="I102" s="18">
        <v>30.854714862946992</v>
      </c>
      <c r="J102" s="19">
        <v>30.861301801511328</v>
      </c>
      <c r="M102" s="22">
        <v>2</v>
      </c>
      <c r="N102" s="23" t="s">
        <v>10</v>
      </c>
      <c r="O102" s="17">
        <v>3.0503000899532533</v>
      </c>
      <c r="P102" s="18">
        <v>3.0963302752293571</v>
      </c>
      <c r="Q102" s="18">
        <v>3.9852326762445012</v>
      </c>
      <c r="R102" s="18">
        <v>4.2923943341487005</v>
      </c>
      <c r="S102" s="17">
        <v>0</v>
      </c>
      <c r="T102" s="18">
        <v>0</v>
      </c>
      <c r="U102" s="18">
        <v>0</v>
      </c>
      <c r="V102" s="19">
        <v>0</v>
      </c>
      <c r="W102" s="21"/>
      <c r="X102" s="21"/>
      <c r="Y102" s="42"/>
      <c r="Z102" s="42"/>
      <c r="AA102" s="42"/>
    </row>
    <row r="103" spans="1:28">
      <c r="A103" s="12">
        <v>3</v>
      </c>
      <c r="B103" s="24" t="s">
        <v>11</v>
      </c>
      <c r="C103" s="17">
        <v>9.2796487559972434</v>
      </c>
      <c r="D103" s="18">
        <v>9.1994986170340702</v>
      </c>
      <c r="E103" s="18">
        <v>9.3937984977807396</v>
      </c>
      <c r="F103" s="19">
        <v>9.4084528279533259</v>
      </c>
      <c r="G103" s="17">
        <v>6.9873368046045226</v>
      </c>
      <c r="H103" s="18">
        <v>6.9617375121183382</v>
      </c>
      <c r="I103" s="18">
        <v>8.3929134775583254</v>
      </c>
      <c r="J103" s="19">
        <v>8.4071310067476084</v>
      </c>
      <c r="M103" s="12">
        <v>3</v>
      </c>
      <c r="N103" s="24" t="s">
        <v>11</v>
      </c>
      <c r="O103" s="17">
        <v>18.448527568460324</v>
      </c>
      <c r="P103" s="18">
        <v>18.540248594258653</v>
      </c>
      <c r="Q103" s="18">
        <v>12.340946347433739</v>
      </c>
      <c r="R103" s="18">
        <v>13.34888218897548</v>
      </c>
      <c r="S103" s="17">
        <v>47.58754758754759</v>
      </c>
      <c r="T103" s="18">
        <v>27.039147328490472</v>
      </c>
      <c r="U103" s="18">
        <v>39.028367768323314</v>
      </c>
      <c r="V103" s="19">
        <v>17.022580724250375</v>
      </c>
      <c r="W103" s="21"/>
      <c r="X103" s="21"/>
      <c r="Y103" s="42"/>
      <c r="Z103" s="42"/>
      <c r="AA103" s="42"/>
    </row>
    <row r="104" spans="1:28">
      <c r="A104" s="22">
        <v>4</v>
      </c>
      <c r="B104" s="25" t="s">
        <v>12</v>
      </c>
      <c r="C104" s="17">
        <v>9.4636282773183282</v>
      </c>
      <c r="D104" s="18">
        <v>9.3771488392028441</v>
      </c>
      <c r="E104" s="18">
        <v>8.3504299783912703</v>
      </c>
      <c r="F104" s="19">
        <v>8.3312039484047116</v>
      </c>
      <c r="G104" s="17">
        <v>9.0652059423208993</v>
      </c>
      <c r="H104" s="18">
        <v>9.0893235728901214</v>
      </c>
      <c r="I104" s="18">
        <v>8.0930896809391921</v>
      </c>
      <c r="J104" s="19">
        <v>8.0693403056648236</v>
      </c>
      <c r="M104" s="22">
        <v>4</v>
      </c>
      <c r="N104" s="25" t="s">
        <v>12</v>
      </c>
      <c r="O104" s="17">
        <v>5.414153628360344</v>
      </c>
      <c r="P104" s="18">
        <v>5.3995264871263684</v>
      </c>
      <c r="Q104" s="18">
        <v>16.183811538002185</v>
      </c>
      <c r="R104" s="18">
        <v>17.354684566812672</v>
      </c>
      <c r="S104" s="17">
        <v>7.8435078435078438</v>
      </c>
      <c r="T104" s="18">
        <v>4.4576351880576839</v>
      </c>
      <c r="U104" s="18">
        <v>8.9048752580980306</v>
      </c>
      <c r="V104" s="19">
        <v>0</v>
      </c>
      <c r="W104" s="21"/>
      <c r="X104" s="21"/>
      <c r="Y104" s="42"/>
      <c r="Z104" s="42"/>
      <c r="AA104" s="42"/>
    </row>
    <row r="105" spans="1:28">
      <c r="A105" s="12">
        <v>5</v>
      </c>
      <c r="B105" s="13" t="s">
        <v>13</v>
      </c>
      <c r="C105" s="17">
        <v>1.4307664375068172</v>
      </c>
      <c r="D105" s="18">
        <v>1.3890173695587151</v>
      </c>
      <c r="E105" s="18">
        <v>1.3410376261893104</v>
      </c>
      <c r="F105" s="19">
        <v>1.3405297119877864</v>
      </c>
      <c r="G105" s="17">
        <v>1.6549311918160416</v>
      </c>
      <c r="H105" s="18">
        <v>1.6568898983334561</v>
      </c>
      <c r="I105" s="18">
        <v>1.4807876839010601</v>
      </c>
      <c r="J105" s="19">
        <v>1.4789628266081993</v>
      </c>
      <c r="M105" s="12">
        <v>5</v>
      </c>
      <c r="N105" s="13" t="s">
        <v>13</v>
      </c>
      <c r="O105" s="17">
        <v>2.3070797634671814</v>
      </c>
      <c r="P105" s="18">
        <v>2.3083752589523523</v>
      </c>
      <c r="Q105" s="18">
        <v>1.2515021513661255</v>
      </c>
      <c r="R105" s="18">
        <v>1.3613971215655041</v>
      </c>
      <c r="S105" s="17">
        <v>0</v>
      </c>
      <c r="T105" s="18">
        <v>0</v>
      </c>
      <c r="U105" s="18">
        <v>3.4496363612451835</v>
      </c>
      <c r="V105" s="19">
        <v>6.4138083212788395</v>
      </c>
      <c r="W105" s="21"/>
      <c r="X105" s="21"/>
      <c r="Y105" s="42"/>
      <c r="Z105" s="42"/>
      <c r="AA105" s="42"/>
    </row>
    <row r="106" spans="1:28">
      <c r="A106" s="22">
        <v>6</v>
      </c>
      <c r="B106" s="25" t="s">
        <v>14</v>
      </c>
      <c r="C106" s="17">
        <v>5.8091321407408216</v>
      </c>
      <c r="D106" s="18">
        <v>5.7295569267012638</v>
      </c>
      <c r="E106" s="18">
        <v>5.359543784731188</v>
      </c>
      <c r="F106" s="19">
        <v>5.3603417427209363</v>
      </c>
      <c r="G106" s="17">
        <v>5.5958747634276982</v>
      </c>
      <c r="H106" s="18">
        <v>5.5797742956821494</v>
      </c>
      <c r="I106" s="18">
        <v>4.7976969552914568</v>
      </c>
      <c r="J106" s="19">
        <v>4.7971028086692975</v>
      </c>
      <c r="M106" s="22">
        <v>6</v>
      </c>
      <c r="N106" s="25" t="s">
        <v>14</v>
      </c>
      <c r="O106" s="17">
        <v>34.555321251087548</v>
      </c>
      <c r="P106" s="18">
        <v>34.547943178455156</v>
      </c>
      <c r="Q106" s="18">
        <v>7.2347414714266245</v>
      </c>
      <c r="R106" s="18">
        <v>7.9246828602309565</v>
      </c>
      <c r="S106" s="17">
        <v>0</v>
      </c>
      <c r="T106" s="18">
        <v>45.431019919217356</v>
      </c>
      <c r="U106" s="18">
        <v>0</v>
      </c>
      <c r="V106" s="19">
        <v>0</v>
      </c>
      <c r="W106" s="21"/>
      <c r="X106" s="21"/>
      <c r="Y106" s="42"/>
      <c r="Z106" s="42"/>
      <c r="AA106" s="42"/>
    </row>
    <row r="107" spans="1:28">
      <c r="A107" s="12">
        <v>7</v>
      </c>
      <c r="B107" s="13" t="s">
        <v>15</v>
      </c>
      <c r="C107" s="17">
        <v>4.5391678326825895</v>
      </c>
      <c r="D107" s="18">
        <v>4.495255979747335</v>
      </c>
      <c r="E107" s="18">
        <v>4.2986322326843576</v>
      </c>
      <c r="F107" s="19">
        <v>4.3001638437170575</v>
      </c>
      <c r="G107" s="17">
        <v>3.5383638496855161</v>
      </c>
      <c r="H107" s="18">
        <v>3.5275933293006037</v>
      </c>
      <c r="I107" s="18">
        <v>4.823184793691639</v>
      </c>
      <c r="J107" s="19">
        <v>4.8235128591444436</v>
      </c>
      <c r="M107" s="12">
        <v>7</v>
      </c>
      <c r="N107" s="13" t="s">
        <v>15</v>
      </c>
      <c r="O107" s="17">
        <v>5.2696385648769413</v>
      </c>
      <c r="P107" s="18">
        <v>5.2567327611719437</v>
      </c>
      <c r="Q107" s="18">
        <v>6.146111105826499</v>
      </c>
      <c r="R107" s="18">
        <v>6.6299561977359351</v>
      </c>
      <c r="S107" s="17">
        <v>5.1489051489051487</v>
      </c>
      <c r="T107" s="18">
        <v>2.920307772641408</v>
      </c>
      <c r="U107" s="18">
        <v>7.4529505372384497</v>
      </c>
      <c r="V107" s="19">
        <v>2.2997523720793387</v>
      </c>
      <c r="W107" s="21"/>
      <c r="X107" s="21"/>
      <c r="Y107" s="42"/>
      <c r="Z107" s="42"/>
      <c r="AA107" s="42"/>
    </row>
    <row r="108" spans="1:28">
      <c r="A108" s="22">
        <v>8</v>
      </c>
      <c r="B108" s="25" t="s">
        <v>16</v>
      </c>
      <c r="C108" s="17">
        <v>13.84807450509012</v>
      </c>
      <c r="D108" s="18">
        <v>13.751915646787111</v>
      </c>
      <c r="E108" s="18">
        <v>15.079803389474607</v>
      </c>
      <c r="F108" s="19">
        <v>15.082184385437969</v>
      </c>
      <c r="G108" s="17">
        <v>21.074776445558619</v>
      </c>
      <c r="H108" s="18">
        <v>21.066595797725043</v>
      </c>
      <c r="I108" s="18">
        <v>15.500213346992547</v>
      </c>
      <c r="J108" s="19">
        <v>15.501790959027783</v>
      </c>
      <c r="M108" s="22">
        <v>8</v>
      </c>
      <c r="N108" s="25" t="s">
        <v>16</v>
      </c>
      <c r="O108" s="17">
        <v>0.75722943978293233</v>
      </c>
      <c r="P108" s="18">
        <v>0.76131991713524694</v>
      </c>
      <c r="Q108" s="18">
        <v>1.0858823666189994</v>
      </c>
      <c r="R108" s="18">
        <v>0.39877126116388872</v>
      </c>
      <c r="S108" s="17">
        <v>3.9001539001538998</v>
      </c>
      <c r="T108" s="18">
        <v>2.2130757298849693</v>
      </c>
      <c r="U108" s="18">
        <v>2.6776437786866918</v>
      </c>
      <c r="V108" s="19">
        <v>2.4002745972981585</v>
      </c>
      <c r="W108" s="21"/>
      <c r="X108" s="21"/>
      <c r="Y108" s="42"/>
      <c r="Z108" s="42"/>
      <c r="AA108" s="42"/>
    </row>
    <row r="109" spans="1:28">
      <c r="A109" s="12">
        <v>9</v>
      </c>
      <c r="B109" s="13" t="s">
        <v>17</v>
      </c>
      <c r="C109" s="17">
        <v>0.23546026097828612</v>
      </c>
      <c r="D109" s="18">
        <v>0.87896195841543245</v>
      </c>
      <c r="E109" s="18">
        <v>0.78000876348135195</v>
      </c>
      <c r="F109" s="19">
        <v>0.7813608587187878</v>
      </c>
      <c r="G109" s="17">
        <v>1.1219828197494253</v>
      </c>
      <c r="H109" s="18">
        <v>1.2293099700882597</v>
      </c>
      <c r="I109" s="18">
        <v>0.75873980618449355</v>
      </c>
      <c r="J109" s="19">
        <v>0.75302352575639453</v>
      </c>
      <c r="M109" s="12">
        <v>9</v>
      </c>
      <c r="N109" s="13" t="s">
        <v>17</v>
      </c>
      <c r="O109" s="17">
        <v>4.9621753940984767</v>
      </c>
      <c r="P109" s="18">
        <v>4.9844628588339743</v>
      </c>
      <c r="Q109" s="18">
        <v>1.0337760782461003</v>
      </c>
      <c r="R109" s="18">
        <v>1.2169065362079754</v>
      </c>
      <c r="S109" s="17">
        <v>8.2606582606582606</v>
      </c>
      <c r="T109" s="18">
        <v>4.6964507855574151</v>
      </c>
      <c r="U109" s="18">
        <v>8.6510514617883398</v>
      </c>
      <c r="V109" s="19">
        <v>16.230661730453331</v>
      </c>
      <c r="W109" s="21"/>
      <c r="X109" s="21"/>
      <c r="Y109" s="42"/>
      <c r="Z109" s="42"/>
      <c r="AA109" s="42"/>
    </row>
    <row r="110" spans="1:28">
      <c r="A110" s="22">
        <v>10</v>
      </c>
      <c r="B110" s="26" t="s">
        <v>18</v>
      </c>
      <c r="C110" s="17">
        <v>2.0216676989071702E-2</v>
      </c>
      <c r="D110" s="18">
        <v>2.0312793899532229E-2</v>
      </c>
      <c r="E110" s="18">
        <v>4.3656707223658393E-2</v>
      </c>
      <c r="F110" s="19">
        <v>3.2822595085227002E-2</v>
      </c>
      <c r="G110" s="17">
        <v>9.0744942335389996E-3</v>
      </c>
      <c r="H110" s="18">
        <v>9.0738767707199148E-3</v>
      </c>
      <c r="I110" s="18">
        <v>1.4489058883417982E-2</v>
      </c>
      <c r="J110" s="19">
        <v>1.4099039154878387E-2</v>
      </c>
      <c r="M110" s="22">
        <v>10</v>
      </c>
      <c r="N110" s="26" t="s">
        <v>18</v>
      </c>
      <c r="O110" s="17">
        <v>0</v>
      </c>
      <c r="P110" s="18">
        <v>0</v>
      </c>
      <c r="Q110" s="18">
        <v>0.92248211951047576</v>
      </c>
      <c r="R110" s="18">
        <v>0.99220661015984968</v>
      </c>
      <c r="S110" s="17">
        <v>0</v>
      </c>
      <c r="T110" s="18">
        <v>0</v>
      </c>
      <c r="U110" s="18">
        <v>0</v>
      </c>
      <c r="V110" s="19">
        <v>0</v>
      </c>
      <c r="W110" s="21"/>
      <c r="X110" s="21"/>
      <c r="Y110" s="42"/>
      <c r="Z110" s="42"/>
      <c r="AA110" s="42"/>
    </row>
    <row r="111" spans="1:28">
      <c r="A111" s="12">
        <v>11</v>
      </c>
      <c r="B111" s="27" t="s">
        <v>19</v>
      </c>
      <c r="C111" s="17">
        <v>2.9451934423618851E-2</v>
      </c>
      <c r="D111" s="18">
        <v>3.1143714365886227E-2</v>
      </c>
      <c r="E111" s="18">
        <v>2.6327940614022216E-2</v>
      </c>
      <c r="F111" s="19">
        <v>2.5687248327568961E-2</v>
      </c>
      <c r="G111" s="17">
        <v>6.3782767060346107E-2</v>
      </c>
      <c r="H111" s="18">
        <v>6.3140041217554926E-2</v>
      </c>
      <c r="I111" s="18">
        <v>2.387468407105716E-2</v>
      </c>
      <c r="J111" s="19">
        <v>2.2394315830201846E-2</v>
      </c>
      <c r="M111" s="12">
        <v>11</v>
      </c>
      <c r="N111" s="27" t="s">
        <v>19</v>
      </c>
      <c r="O111" s="17">
        <v>1.9774969401147271</v>
      </c>
      <c r="P111" s="18">
        <v>1.9761763835454269</v>
      </c>
      <c r="Q111" s="18">
        <v>5.8765958211390883</v>
      </c>
      <c r="R111" s="18">
        <v>6.3748791171283914</v>
      </c>
      <c r="S111" s="17">
        <v>2.6001026001026002</v>
      </c>
      <c r="T111" s="18">
        <v>1.3184771090258474</v>
      </c>
      <c r="U111" s="18">
        <v>2.874916159238265</v>
      </c>
      <c r="V111" s="19">
        <v>5.5777576188491436</v>
      </c>
      <c r="W111" s="21"/>
      <c r="X111" s="21"/>
      <c r="Y111" s="42"/>
      <c r="Z111" s="42"/>
      <c r="AA111" s="42"/>
    </row>
    <row r="112" spans="1:28">
      <c r="A112" s="22">
        <v>12</v>
      </c>
      <c r="B112" s="25" t="s">
        <v>20</v>
      </c>
      <c r="C112" s="17">
        <v>8.3827422839715151</v>
      </c>
      <c r="D112" s="18">
        <v>8.3490979115210155</v>
      </c>
      <c r="E112" s="18">
        <v>8.1609652256917862</v>
      </c>
      <c r="F112" s="19">
        <v>8.1657716069743298</v>
      </c>
      <c r="G112" s="17">
        <v>6.512541212338177</v>
      </c>
      <c r="H112" s="18">
        <v>6.5181545648411454</v>
      </c>
      <c r="I112" s="18">
        <v>8.3887251423183411</v>
      </c>
      <c r="J112" s="19">
        <v>8.3879316914743338</v>
      </c>
      <c r="M112" s="22">
        <v>12</v>
      </c>
      <c r="N112" s="25" t="s">
        <v>20</v>
      </c>
      <c r="O112" s="17">
        <v>0.47041127807352578</v>
      </c>
      <c r="P112" s="18">
        <v>0.46537437111571461</v>
      </c>
      <c r="Q112" s="18">
        <v>2.558387051428801</v>
      </c>
      <c r="R112" s="18">
        <v>2.7561294726662493</v>
      </c>
      <c r="S112" s="17">
        <v>0</v>
      </c>
      <c r="T112" s="18">
        <v>0</v>
      </c>
      <c r="U112" s="18">
        <v>0.74568959848494798</v>
      </c>
      <c r="V112" s="19">
        <v>1.3631794444308236</v>
      </c>
      <c r="W112" s="21"/>
      <c r="X112" s="21"/>
      <c r="Y112" s="42"/>
      <c r="Z112" s="42"/>
      <c r="AA112" s="42"/>
    </row>
    <row r="113" spans="1:27">
      <c r="A113" s="12">
        <v>13</v>
      </c>
      <c r="B113" s="13" t="s">
        <v>21</v>
      </c>
      <c r="C113" s="17">
        <v>0.2879615353856067</v>
      </c>
      <c r="D113" s="18">
        <v>0.28738556226738576</v>
      </c>
      <c r="E113" s="18">
        <v>0.24619168883427486</v>
      </c>
      <c r="F113" s="19">
        <v>0.24655988777311211</v>
      </c>
      <c r="G113" s="17">
        <v>0.13901555040489588</v>
      </c>
      <c r="H113" s="18">
        <v>0.13799363244822105</v>
      </c>
      <c r="I113" s="18">
        <v>0.16703479826126599</v>
      </c>
      <c r="J113" s="19">
        <v>0.16760562554593475</v>
      </c>
      <c r="M113" s="12">
        <v>13</v>
      </c>
      <c r="N113" s="13" t="s">
        <v>21</v>
      </c>
      <c r="O113" s="17">
        <v>0.2890301269668058</v>
      </c>
      <c r="P113" s="18">
        <v>0.28854690736904404</v>
      </c>
      <c r="Q113" s="18">
        <v>0.44855798753465381</v>
      </c>
      <c r="R113" s="18">
        <v>0.48182490471585421</v>
      </c>
      <c r="S113" s="17">
        <v>3.8245538245538251</v>
      </c>
      <c r="T113" s="18">
        <v>0</v>
      </c>
      <c r="U113" s="18">
        <v>1.0573799597564344</v>
      </c>
      <c r="V113" s="19">
        <v>1.9981856964228797</v>
      </c>
      <c r="W113" s="21"/>
      <c r="X113" s="21"/>
      <c r="Y113" s="42"/>
      <c r="Z113" s="42"/>
      <c r="AA113" s="42"/>
    </row>
    <row r="114" spans="1:27">
      <c r="A114" s="22">
        <v>14</v>
      </c>
      <c r="B114" s="25" t="s">
        <v>22</v>
      </c>
      <c r="C114" s="17">
        <v>2.7873403867159277</v>
      </c>
      <c r="D114" s="18">
        <v>2.7769169572899419</v>
      </c>
      <c r="E114" s="18">
        <v>2.9033317299090764</v>
      </c>
      <c r="F114" s="19">
        <v>2.9042476853877521</v>
      </c>
      <c r="G114" s="17">
        <v>3.44362803030501</v>
      </c>
      <c r="H114" s="18">
        <v>3.444349348120908</v>
      </c>
      <c r="I114" s="18">
        <v>2.7081634877358622</v>
      </c>
      <c r="J114" s="19">
        <v>2.7095656557958483</v>
      </c>
      <c r="M114" s="22">
        <v>14</v>
      </c>
      <c r="N114" s="25" t="s">
        <v>22</v>
      </c>
      <c r="O114" s="17">
        <v>5.5726778051406072</v>
      </c>
      <c r="P114" s="18">
        <v>5.460195324060372</v>
      </c>
      <c r="Q114" s="18">
        <v>6.7080768974668743</v>
      </c>
      <c r="R114" s="18">
        <v>0.10011946072017747</v>
      </c>
      <c r="S114" s="17">
        <v>6.2248562248562251</v>
      </c>
      <c r="T114" s="18">
        <v>3.623700336338366</v>
      </c>
      <c r="U114" s="18">
        <v>6.9873877191367351</v>
      </c>
      <c r="V114" s="19">
        <v>12.773677887562213</v>
      </c>
      <c r="W114" s="21"/>
      <c r="X114" s="21"/>
      <c r="Y114" s="42"/>
      <c r="Z114" s="42"/>
      <c r="AA114" s="42"/>
    </row>
    <row r="115" spans="1:27">
      <c r="A115" s="12">
        <v>15</v>
      </c>
      <c r="B115" s="13" t="s">
        <v>23</v>
      </c>
      <c r="C115" s="17">
        <v>1.708328607377892</v>
      </c>
      <c r="D115" s="18">
        <v>1.7006472342223169</v>
      </c>
      <c r="E115" s="18">
        <v>1.8269126726582596</v>
      </c>
      <c r="F115" s="19">
        <v>1.8249793680775357</v>
      </c>
      <c r="G115" s="17">
        <v>2.4312517979732524</v>
      </c>
      <c r="H115" s="18">
        <v>2.4110822533023839</v>
      </c>
      <c r="I115" s="18">
        <v>1.8375001011887715</v>
      </c>
      <c r="J115" s="19">
        <v>1.8379167423891574</v>
      </c>
      <c r="M115" s="12">
        <v>15</v>
      </c>
      <c r="N115" s="13" t="s">
        <v>23</v>
      </c>
      <c r="O115" s="17">
        <v>2.1655139869936439</v>
      </c>
      <c r="P115" s="18">
        <v>2.1722403077833676</v>
      </c>
      <c r="Q115" s="18">
        <v>2.4278570998252911</v>
      </c>
      <c r="R115" s="18">
        <v>2.6193753910916433</v>
      </c>
      <c r="S115" s="17">
        <v>1.6159516159516158</v>
      </c>
      <c r="T115" s="18">
        <v>0.92377866171117895</v>
      </c>
      <c r="U115" s="18">
        <v>2.0568933545510739</v>
      </c>
      <c r="V115" s="19">
        <v>3.841910412631476</v>
      </c>
      <c r="W115" s="21"/>
      <c r="X115" s="21"/>
      <c r="Y115" s="42"/>
      <c r="Z115" s="42"/>
      <c r="AA115" s="42"/>
    </row>
    <row r="116" spans="1:27">
      <c r="A116" s="22">
        <v>16</v>
      </c>
      <c r="B116" s="25" t="s">
        <v>24</v>
      </c>
      <c r="C116" s="17">
        <v>3.3471987659833493</v>
      </c>
      <c r="D116" s="18">
        <v>3.3347286334076465</v>
      </c>
      <c r="E116" s="18">
        <v>3.4876888085629285</v>
      </c>
      <c r="F116" s="19">
        <v>3.4819145885530185</v>
      </c>
      <c r="G116" s="17">
        <v>4.823948873064217</v>
      </c>
      <c r="H116" s="18">
        <v>4.8089897089039058</v>
      </c>
      <c r="I116" s="18">
        <v>3.6694568175010933</v>
      </c>
      <c r="J116" s="19">
        <v>3.670586649001343</v>
      </c>
      <c r="M116" s="22">
        <v>16</v>
      </c>
      <c r="N116" s="25" t="s">
        <v>24</v>
      </c>
      <c r="O116" s="17">
        <v>10.657248610148496</v>
      </c>
      <c r="P116" s="18">
        <v>10.636282923941993</v>
      </c>
      <c r="Q116" s="18">
        <v>10.101221485547111</v>
      </c>
      <c r="R116" s="18">
        <v>10.831901700893109</v>
      </c>
      <c r="S116" s="17">
        <v>8.7952587952587944</v>
      </c>
      <c r="T116" s="18">
        <v>5.0036091103159128</v>
      </c>
      <c r="U116" s="18">
        <v>10.877599063613767</v>
      </c>
      <c r="V116" s="19">
        <v>20.300585971020176</v>
      </c>
      <c r="W116" s="21"/>
      <c r="X116" s="21"/>
      <c r="Y116" s="42"/>
      <c r="Z116" s="42"/>
      <c r="AA116" s="42"/>
    </row>
    <row r="117" spans="1:27" ht="16" thickBot="1">
      <c r="A117" s="12">
        <v>17</v>
      </c>
      <c r="B117" s="13" t="s">
        <v>25</v>
      </c>
      <c r="C117" s="31">
        <v>8.0702180680982263</v>
      </c>
      <c r="D117" s="32">
        <v>8.0432496769995954</v>
      </c>
      <c r="E117" s="32">
        <v>8.1844005746615398</v>
      </c>
      <c r="F117" s="33">
        <v>8.1825194774772108</v>
      </c>
      <c r="G117" s="31">
        <v>6.2710456406676078</v>
      </c>
      <c r="H117" s="32">
        <v>6.2715808017884918</v>
      </c>
      <c r="I117" s="32">
        <v>8.3874346188550408</v>
      </c>
      <c r="J117" s="33">
        <v>8.3960217846276528</v>
      </c>
      <c r="M117" s="12">
        <v>17</v>
      </c>
      <c r="N117" s="13" t="s">
        <v>25</v>
      </c>
      <c r="O117" s="31">
        <v>4.1031955524751886</v>
      </c>
      <c r="P117" s="32">
        <v>4.106244451021011</v>
      </c>
      <c r="Q117" s="32">
        <v>15.530210549568087</v>
      </c>
      <c r="R117" s="32">
        <v>16.709710449968711</v>
      </c>
      <c r="S117" s="31">
        <v>4.1985041985041986</v>
      </c>
      <c r="T117" s="32">
        <v>2.3727980587593875</v>
      </c>
      <c r="U117" s="32">
        <v>5.2356089798387622</v>
      </c>
      <c r="V117" s="33">
        <v>9.7776252237232448</v>
      </c>
      <c r="W117" s="21"/>
      <c r="X117" s="21"/>
      <c r="Y117" s="42"/>
      <c r="Z117" s="42"/>
      <c r="AA117" s="42"/>
    </row>
    <row r="118" spans="1:27">
      <c r="C118" s="45">
        <v>99.999999999999972</v>
      </c>
      <c r="D118" s="45">
        <v>99.999999999999972</v>
      </c>
      <c r="E118" s="45">
        <v>99.999999999999972</v>
      </c>
      <c r="F118" s="45">
        <v>99.999999999999972</v>
      </c>
      <c r="G118" s="45">
        <v>99.999999999999972</v>
      </c>
      <c r="H118" s="45">
        <v>99.999999999999972</v>
      </c>
      <c r="I118" s="45">
        <v>99.999999999999972</v>
      </c>
      <c r="J118" s="45">
        <v>99.999999999999972</v>
      </c>
      <c r="O118" s="45">
        <v>100.00000000000001</v>
      </c>
      <c r="P118" s="45">
        <v>99.999999999999972</v>
      </c>
      <c r="Q118" s="45">
        <v>100</v>
      </c>
      <c r="R118" s="45">
        <v>99.999999999999972</v>
      </c>
      <c r="S118" s="45">
        <v>100</v>
      </c>
      <c r="T118">
        <v>99.999999999999986</v>
      </c>
      <c r="U118">
        <v>100</v>
      </c>
      <c r="V118">
        <v>100</v>
      </c>
      <c r="W118" s="42"/>
      <c r="X118" s="42"/>
      <c r="Y118" s="42"/>
      <c r="Z118" s="42"/>
      <c r="AA118" s="42"/>
    </row>
    <row r="119" spans="1:27"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</row>
    <row r="120" spans="1:27" ht="16" thickBot="1"/>
    <row r="121" spans="1:27" ht="26" thickBot="1">
      <c r="A121" s="1" t="s">
        <v>49</v>
      </c>
      <c r="O121" s="46" t="s">
        <v>1</v>
      </c>
      <c r="P121" s="47"/>
      <c r="Q121" s="47" t="s">
        <v>2</v>
      </c>
      <c r="R121" s="48"/>
    </row>
    <row r="122" spans="1:27" ht="16" thickBot="1">
      <c r="C122" s="46" t="s">
        <v>1</v>
      </c>
      <c r="D122" s="47"/>
      <c r="E122" s="47" t="s">
        <v>2</v>
      </c>
      <c r="F122" s="48"/>
      <c r="G122" s="46" t="s">
        <v>1</v>
      </c>
      <c r="H122" s="47"/>
      <c r="I122" s="47" t="s">
        <v>2</v>
      </c>
      <c r="J122" s="48"/>
      <c r="K122" s="46" t="s">
        <v>1</v>
      </c>
      <c r="L122" s="47"/>
      <c r="M122" s="47" t="s">
        <v>2</v>
      </c>
      <c r="N122" s="48"/>
      <c r="O122" t="s">
        <v>50</v>
      </c>
      <c r="S122" s="46" t="s">
        <v>1</v>
      </c>
      <c r="T122" s="47"/>
      <c r="U122" s="47" t="s">
        <v>2</v>
      </c>
      <c r="V122" s="48"/>
      <c r="W122" s="46" t="s">
        <v>1</v>
      </c>
      <c r="X122" s="47"/>
      <c r="Y122" s="47" t="s">
        <v>2</v>
      </c>
      <c r="Z122" s="48"/>
    </row>
    <row r="123" spans="1:27" ht="16" thickBot="1">
      <c r="C123" s="49" t="s">
        <v>51</v>
      </c>
      <c r="D123" s="50"/>
      <c r="E123" s="50"/>
      <c r="F123" s="51"/>
      <c r="G123" s="52" t="s">
        <v>52</v>
      </c>
      <c r="H123" s="53"/>
      <c r="I123" s="53"/>
      <c r="J123" s="53"/>
      <c r="K123" s="52" t="s">
        <v>53</v>
      </c>
      <c r="L123" s="53"/>
      <c r="M123" s="53"/>
      <c r="N123" s="53"/>
      <c r="O123" s="52" t="s">
        <v>54</v>
      </c>
      <c r="P123" s="53"/>
      <c r="Q123" s="53"/>
      <c r="R123" s="53"/>
      <c r="S123" s="52" t="s">
        <v>55</v>
      </c>
      <c r="T123" s="53"/>
      <c r="U123" s="53"/>
      <c r="V123" s="53"/>
      <c r="W123" s="52" t="s">
        <v>56</v>
      </c>
      <c r="X123" s="53"/>
      <c r="Y123" s="53"/>
      <c r="Z123" s="53"/>
    </row>
    <row r="124" spans="1:27">
      <c r="A124" s="3" t="s">
        <v>6</v>
      </c>
      <c r="B124" s="4" t="s">
        <v>7</v>
      </c>
      <c r="C124" s="35" t="s">
        <v>8</v>
      </c>
      <c r="D124" s="20" t="s">
        <v>8</v>
      </c>
      <c r="E124" s="6"/>
      <c r="F124" s="7"/>
      <c r="G124" s="8" t="s">
        <v>8</v>
      </c>
      <c r="H124" s="9" t="s">
        <v>8</v>
      </c>
      <c r="I124" s="9" t="s">
        <v>8</v>
      </c>
      <c r="J124" s="10" t="s">
        <v>8</v>
      </c>
      <c r="K124" s="8" t="s">
        <v>8</v>
      </c>
      <c r="L124" s="9" t="s">
        <v>8</v>
      </c>
      <c r="M124" s="9" t="s">
        <v>8</v>
      </c>
      <c r="N124" s="10" t="s">
        <v>8</v>
      </c>
      <c r="O124" s="8" t="s">
        <v>8</v>
      </c>
      <c r="P124" s="9" t="s">
        <v>8</v>
      </c>
      <c r="Q124" s="9" t="s">
        <v>57</v>
      </c>
      <c r="R124" s="10" t="s">
        <v>57</v>
      </c>
      <c r="S124" s="8" t="s">
        <v>8</v>
      </c>
      <c r="T124" s="9" t="s">
        <v>8</v>
      </c>
      <c r="U124" s="9" t="s">
        <v>8</v>
      </c>
      <c r="V124" s="9" t="s">
        <v>8</v>
      </c>
      <c r="W124" s="8" t="s">
        <v>8</v>
      </c>
      <c r="X124" s="9" t="s">
        <v>8</v>
      </c>
      <c r="Y124" s="9" t="s">
        <v>8</v>
      </c>
      <c r="Z124" s="10" t="s">
        <v>8</v>
      </c>
    </row>
    <row r="125" spans="1:27">
      <c r="A125" s="12">
        <v>1</v>
      </c>
      <c r="B125" s="13" t="s">
        <v>9</v>
      </c>
      <c r="C125" s="17">
        <v>0.37149102574010795</v>
      </c>
      <c r="D125" s="18">
        <v>0.18376954180337024</v>
      </c>
      <c r="E125" s="18"/>
      <c r="F125" s="19"/>
      <c r="G125" s="17">
        <v>0</v>
      </c>
      <c r="H125" s="18">
        <v>0</v>
      </c>
      <c r="I125" s="18">
        <v>0</v>
      </c>
      <c r="J125" s="19">
        <v>0</v>
      </c>
      <c r="K125" s="17">
        <v>3.6822141050856989</v>
      </c>
      <c r="L125" s="18">
        <v>3.6334733734529356</v>
      </c>
      <c r="M125" s="18">
        <v>1.198739115134362</v>
      </c>
      <c r="N125" s="19">
        <v>1.1863952067248935</v>
      </c>
      <c r="O125" s="17">
        <v>2.1476083452518782</v>
      </c>
      <c r="P125" s="18">
        <v>2.4698556335564512</v>
      </c>
      <c r="Q125" s="18">
        <v>0</v>
      </c>
      <c r="R125" s="19">
        <v>0</v>
      </c>
      <c r="S125" s="17">
        <v>0</v>
      </c>
      <c r="T125" s="18">
        <v>0</v>
      </c>
      <c r="U125" s="20">
        <v>0</v>
      </c>
      <c r="V125" s="18">
        <v>0</v>
      </c>
      <c r="W125" s="17">
        <v>0</v>
      </c>
      <c r="X125" s="18">
        <v>0</v>
      </c>
      <c r="Y125" s="18">
        <v>0</v>
      </c>
      <c r="Z125" s="19">
        <v>0</v>
      </c>
    </row>
    <row r="126" spans="1:27">
      <c r="A126" s="22">
        <v>2</v>
      </c>
      <c r="B126" s="23" t="s">
        <v>10</v>
      </c>
      <c r="C126" s="17">
        <v>10.782898800034953</v>
      </c>
      <c r="D126" s="18">
        <v>5.3516935930476386</v>
      </c>
      <c r="E126" s="18"/>
      <c r="F126" s="19"/>
      <c r="G126" s="17">
        <v>11.837594654168958</v>
      </c>
      <c r="H126" s="18">
        <v>11.841631590607001</v>
      </c>
      <c r="I126" s="18">
        <v>2.1581339249176157</v>
      </c>
      <c r="J126" s="19">
        <v>18.214024934418692</v>
      </c>
      <c r="K126" s="17">
        <v>31.625456588929481</v>
      </c>
      <c r="L126" s="18">
        <v>31.405416146247305</v>
      </c>
      <c r="M126" s="18">
        <v>21.158007442515178</v>
      </c>
      <c r="N126" s="19">
        <v>21.192655080931232</v>
      </c>
      <c r="O126" s="17">
        <v>14.878884878203817</v>
      </c>
      <c r="P126" s="18">
        <v>13.074608764605729</v>
      </c>
      <c r="Q126" s="18">
        <v>20.203042944122686</v>
      </c>
      <c r="R126" s="19">
        <v>20.058623249622404</v>
      </c>
      <c r="S126" s="17">
        <v>23.910047505553123</v>
      </c>
      <c r="T126" s="18">
        <v>22.817324982947849</v>
      </c>
      <c r="U126" s="18">
        <v>20.595108895943717</v>
      </c>
      <c r="V126" s="18">
        <v>20.919514388489212</v>
      </c>
      <c r="W126" s="17">
        <v>2.07657234135048</v>
      </c>
      <c r="X126" s="18">
        <v>2.9067821548800135</v>
      </c>
      <c r="Y126" s="18">
        <v>0.52660325442872313</v>
      </c>
      <c r="Z126" s="19">
        <v>0.54459938938856345</v>
      </c>
    </row>
    <row r="127" spans="1:27">
      <c r="A127" s="12">
        <v>3</v>
      </c>
      <c r="B127" s="24" t="s">
        <v>11</v>
      </c>
      <c r="C127" s="17">
        <v>3.9788128151381961</v>
      </c>
      <c r="D127" s="18">
        <v>1.7192824528814727</v>
      </c>
      <c r="E127" s="18"/>
      <c r="F127" s="19"/>
      <c r="G127" s="17">
        <v>2.6172877278132018</v>
      </c>
      <c r="H127" s="18">
        <v>2.6320890562693839</v>
      </c>
      <c r="I127" s="18">
        <v>4.1601154450881985</v>
      </c>
      <c r="J127" s="19">
        <v>3.4462864303035219</v>
      </c>
      <c r="K127" s="17">
        <v>2.3588086541163249</v>
      </c>
      <c r="L127" s="18">
        <v>2.3759509481094585</v>
      </c>
      <c r="M127" s="18">
        <v>1.5708648741735733</v>
      </c>
      <c r="N127" s="19">
        <v>1.6640832265180199</v>
      </c>
      <c r="O127" s="17">
        <v>5.2850234965606475</v>
      </c>
      <c r="P127" s="18">
        <v>5.4807938988268763</v>
      </c>
      <c r="Q127" s="18">
        <v>1.6159734316147583</v>
      </c>
      <c r="R127" s="19">
        <v>3.2434784834754109</v>
      </c>
      <c r="S127" s="17">
        <v>2.9362647340175427</v>
      </c>
      <c r="T127" s="18">
        <v>2.7996527562472866</v>
      </c>
      <c r="U127" s="18">
        <v>2.3657621066633201</v>
      </c>
      <c r="V127" s="18">
        <v>2.3774730215827344</v>
      </c>
      <c r="W127" s="17">
        <v>3.1047486174719205</v>
      </c>
      <c r="X127" s="18">
        <v>4.0605716140268306</v>
      </c>
      <c r="Y127" s="18">
        <v>4.0819481228809629</v>
      </c>
      <c r="Z127" s="19">
        <v>4.0906840498390959</v>
      </c>
    </row>
    <row r="128" spans="1:27">
      <c r="A128" s="22">
        <v>4</v>
      </c>
      <c r="B128" s="25" t="s">
        <v>12</v>
      </c>
      <c r="C128" s="17">
        <v>0.40596715259795552</v>
      </c>
      <c r="D128" s="18">
        <v>48.332288354189643</v>
      </c>
      <c r="E128" s="18"/>
      <c r="F128" s="19"/>
      <c r="G128" s="17">
        <v>15.819154040316244</v>
      </c>
      <c r="H128" s="18">
        <v>15.840994683207798</v>
      </c>
      <c r="I128" s="18">
        <v>12.791574231622475</v>
      </c>
      <c r="J128" s="19">
        <v>10.68682334063517</v>
      </c>
      <c r="K128" s="17">
        <v>4.9030626580500147</v>
      </c>
      <c r="L128" s="18">
        <v>4.9009310775519479</v>
      </c>
      <c r="M128" s="18">
        <v>7.1242989884468795</v>
      </c>
      <c r="N128" s="19">
        <v>7.3143649208573054</v>
      </c>
      <c r="O128" s="17">
        <v>3.3417330699902372</v>
      </c>
      <c r="P128" s="18">
        <v>3.5473563915385862</v>
      </c>
      <c r="Q128" s="18">
        <v>5.6673821770415671</v>
      </c>
      <c r="R128" s="19">
        <v>5.6306479277065256</v>
      </c>
      <c r="S128" s="17">
        <v>5.1769703455096714</v>
      </c>
      <c r="T128" s="18">
        <v>4.9528740621318272</v>
      </c>
      <c r="U128" s="18">
        <v>5.8942055535740261</v>
      </c>
      <c r="V128" s="18">
        <v>5.9948291366906492</v>
      </c>
      <c r="W128" s="17">
        <v>10.94901580176519</v>
      </c>
      <c r="X128" s="18">
        <v>14.354608813924552</v>
      </c>
      <c r="Y128" s="18">
        <v>14.412028401537558</v>
      </c>
      <c r="Z128" s="19">
        <v>14.459732651208846</v>
      </c>
    </row>
    <row r="129" spans="1:26">
      <c r="A129" s="12">
        <v>5</v>
      </c>
      <c r="B129" s="13" t="s">
        <v>13</v>
      </c>
      <c r="C129" s="17">
        <v>0.15421013747095486</v>
      </c>
      <c r="D129" s="18">
        <v>7.6237512322340356E-2</v>
      </c>
      <c r="E129" s="18"/>
      <c r="F129" s="19"/>
      <c r="G129" s="17">
        <v>3.908547905961214</v>
      </c>
      <c r="H129" s="18">
        <v>3.9308263181214</v>
      </c>
      <c r="I129" s="18">
        <v>5.4728725580994624</v>
      </c>
      <c r="J129" s="19">
        <v>4.5812261676177082</v>
      </c>
      <c r="K129" s="17">
        <v>4.2722674908682219</v>
      </c>
      <c r="L129" s="18">
        <v>4.3190076075848767</v>
      </c>
      <c r="M129" s="18">
        <v>6.4384495009621361</v>
      </c>
      <c r="N129" s="19">
        <v>6.427549408292843</v>
      </c>
      <c r="O129" s="17">
        <v>3.6641013416876658</v>
      </c>
      <c r="P129" s="18">
        <v>3.4214147445017136</v>
      </c>
      <c r="Q129" s="18">
        <v>3.6707032251967648</v>
      </c>
      <c r="R129" s="19">
        <v>3.7708317333538135</v>
      </c>
      <c r="S129" s="17">
        <v>3.6561441055823076</v>
      </c>
      <c r="T129" s="18">
        <v>3.5018912382960248</v>
      </c>
      <c r="U129" s="18">
        <v>3.9938127523771421</v>
      </c>
      <c r="V129" s="18">
        <v>4.070368705035972</v>
      </c>
      <c r="W129" s="17">
        <v>24.078735858784999</v>
      </c>
      <c r="X129" s="18">
        <v>0.90264612370261432</v>
      </c>
      <c r="Y129" s="18">
        <v>5.07847522079207</v>
      </c>
      <c r="Z129" s="19">
        <v>4.9911296311576869</v>
      </c>
    </row>
    <row r="130" spans="1:26">
      <c r="A130" s="22">
        <v>6</v>
      </c>
      <c r="B130" s="25" t="s">
        <v>14</v>
      </c>
      <c r="C130" s="17">
        <v>1.8025132843736784</v>
      </c>
      <c r="D130" s="18">
        <v>0.89301731390174244</v>
      </c>
      <c r="E130" s="18"/>
      <c r="F130" s="19"/>
      <c r="G130" s="17">
        <v>6.7539095909271065</v>
      </c>
      <c r="H130" s="18">
        <v>6.7664488258750541</v>
      </c>
      <c r="I130" s="18">
        <v>6.4884016455232718</v>
      </c>
      <c r="J130" s="19">
        <v>5.402457383418521</v>
      </c>
      <c r="K130" s="17">
        <v>6.402079235740378</v>
      </c>
      <c r="L130" s="18">
        <v>6.3472237992505978</v>
      </c>
      <c r="M130" s="18">
        <v>7.215645754247249</v>
      </c>
      <c r="N130" s="19">
        <v>7.1914031060899637</v>
      </c>
      <c r="O130" s="17">
        <v>8.4474108379304855</v>
      </c>
      <c r="P130" s="18">
        <v>8.9045408960514933</v>
      </c>
      <c r="Q130" s="18">
        <v>6.7095972891606914</v>
      </c>
      <c r="R130" s="19">
        <v>7.7861403374036815</v>
      </c>
      <c r="S130" s="17">
        <v>7.9138090374045431</v>
      </c>
      <c r="T130" s="18">
        <v>7.6967197866931221</v>
      </c>
      <c r="U130" s="18">
        <v>6.7222151274029942</v>
      </c>
      <c r="V130" s="18">
        <v>6.7625899280575554</v>
      </c>
      <c r="W130" s="17">
        <v>4.4655404244133736</v>
      </c>
      <c r="X130" s="18">
        <v>5.279825732266306</v>
      </c>
      <c r="Y130" s="18">
        <v>5.4865669796057182</v>
      </c>
      <c r="Z130" s="19">
        <v>5.4243336908985897</v>
      </c>
    </row>
    <row r="131" spans="1:26">
      <c r="A131" s="12">
        <v>7</v>
      </c>
      <c r="B131" s="13" t="s">
        <v>15</v>
      </c>
      <c r="C131" s="17">
        <v>0.24214577865206677</v>
      </c>
      <c r="D131" s="18">
        <v>2.5863037922122403</v>
      </c>
      <c r="E131" s="18"/>
      <c r="F131" s="19"/>
      <c r="G131" s="17">
        <v>7.0689019768727448</v>
      </c>
      <c r="H131" s="18">
        <v>7.026057820115196</v>
      </c>
      <c r="I131" s="18">
        <v>12.773266708307307</v>
      </c>
      <c r="J131" s="19">
        <v>10.692232108247469</v>
      </c>
      <c r="K131" s="17">
        <v>8.3731385220567578</v>
      </c>
      <c r="L131" s="18">
        <v>8.6167253321221775</v>
      </c>
      <c r="M131" s="18">
        <v>5.954012144627387</v>
      </c>
      <c r="N131" s="19">
        <v>5.9424091573016966</v>
      </c>
      <c r="O131" s="17">
        <v>13.06726599922813</v>
      </c>
      <c r="P131" s="18">
        <v>13.576043100030317</v>
      </c>
      <c r="Q131" s="18">
        <v>11.263213316593088</v>
      </c>
      <c r="R131" s="19">
        <v>11.189616772905307</v>
      </c>
      <c r="S131" s="17">
        <v>10.760899524944469</v>
      </c>
      <c r="T131" s="18">
        <v>10.265393439573385</v>
      </c>
      <c r="U131" s="18">
        <v>10.777078380441822</v>
      </c>
      <c r="V131" s="18">
        <v>10.975719424460435</v>
      </c>
      <c r="W131" s="17">
        <v>7.6319593986634739</v>
      </c>
      <c r="X131" s="18">
        <v>9.9591955648521804</v>
      </c>
      <c r="Y131" s="18">
        <v>10.147675628883828</v>
      </c>
      <c r="Z131" s="19">
        <v>10.184421156861127</v>
      </c>
    </row>
    <row r="132" spans="1:26">
      <c r="A132" s="22">
        <v>8</v>
      </c>
      <c r="B132" s="25" t="s">
        <v>16</v>
      </c>
      <c r="C132" s="17">
        <v>37.666148842684727</v>
      </c>
      <c r="D132" s="18">
        <v>18.708231363109089</v>
      </c>
      <c r="E132" s="18"/>
      <c r="F132" s="19"/>
      <c r="G132" s="17">
        <v>14.800470054862913</v>
      </c>
      <c r="H132" s="18">
        <v>14.820558263181214</v>
      </c>
      <c r="I132" s="18">
        <v>19.201361218204134</v>
      </c>
      <c r="J132" s="19">
        <v>16.07846318882909</v>
      </c>
      <c r="K132" s="17">
        <v>15.160157347569545</v>
      </c>
      <c r="L132" s="18">
        <v>15.046270012490067</v>
      </c>
      <c r="M132" s="18">
        <v>20.368831285518539</v>
      </c>
      <c r="N132" s="19">
        <v>20.144871374489522</v>
      </c>
      <c r="O132" s="17">
        <v>10.433835047333648</v>
      </c>
      <c r="P132" s="18">
        <v>10.868297688737549</v>
      </c>
      <c r="Q132" s="18">
        <v>15.981531732210113</v>
      </c>
      <c r="R132" s="19">
        <v>16.035634743875278</v>
      </c>
      <c r="S132" s="17">
        <v>14.793196815668727</v>
      </c>
      <c r="T132" s="18">
        <v>14.109877844608418</v>
      </c>
      <c r="U132" s="18">
        <v>17.028649648198371</v>
      </c>
      <c r="V132" s="18">
        <v>17.121178057553958</v>
      </c>
      <c r="W132" s="17">
        <v>8.5034323092010151</v>
      </c>
      <c r="X132" s="18">
        <v>11.174497374880772</v>
      </c>
      <c r="Y132" s="18">
        <v>13.017714892257592</v>
      </c>
      <c r="Z132" s="19">
        <v>12.837280303655419</v>
      </c>
    </row>
    <row r="133" spans="1:26">
      <c r="A133" s="12">
        <v>9</v>
      </c>
      <c r="B133" s="13" t="s">
        <v>17</v>
      </c>
      <c r="C133" s="17">
        <v>0.10261548992640901</v>
      </c>
      <c r="D133" s="18">
        <v>5.0146920919441999E-2</v>
      </c>
      <c r="E133" s="18"/>
      <c r="F133" s="19"/>
      <c r="G133" s="17">
        <v>14.876958272200705</v>
      </c>
      <c r="H133" s="18">
        <v>14.900171688081523</v>
      </c>
      <c r="I133" s="18">
        <v>12.437269809817138</v>
      </c>
      <c r="J133" s="19">
        <v>10.400158657183294</v>
      </c>
      <c r="K133" s="17">
        <v>4.6038212981174489</v>
      </c>
      <c r="L133" s="18">
        <v>4.6170659702509376</v>
      </c>
      <c r="M133" s="18">
        <v>2.4910712280150045</v>
      </c>
      <c r="N133" s="19">
        <v>2.5076757981339615</v>
      </c>
      <c r="O133" s="17">
        <v>15.553134009852663</v>
      </c>
      <c r="P133" s="18">
        <v>14.947407701098486</v>
      </c>
      <c r="Q133" s="18">
        <v>9.8308425472169336</v>
      </c>
      <c r="R133" s="19">
        <v>9.7624350408314768</v>
      </c>
      <c r="S133" s="17">
        <v>9.1379282390518348</v>
      </c>
      <c r="T133" s="18">
        <v>8.7338004588578162</v>
      </c>
      <c r="U133" s="18">
        <v>8.7069114034592285</v>
      </c>
      <c r="V133" s="18">
        <v>8.6016187050359747</v>
      </c>
      <c r="W133" s="17">
        <v>19.145107316530694</v>
      </c>
      <c r="X133" s="18">
        <v>24.9575112289833</v>
      </c>
      <c r="Y133" s="18">
        <v>17.705617444892159</v>
      </c>
      <c r="Z133" s="19">
        <v>17.76342932585197</v>
      </c>
    </row>
    <row r="134" spans="1:26">
      <c r="A134" s="22">
        <v>10</v>
      </c>
      <c r="B134" s="26" t="s">
        <v>18</v>
      </c>
      <c r="C134" s="17">
        <v>3.0582594308935528E-2</v>
      </c>
      <c r="D134" s="18">
        <v>1.5093397815877816E-2</v>
      </c>
      <c r="E134" s="18"/>
      <c r="F134" s="19"/>
      <c r="G134" s="17">
        <v>0</v>
      </c>
      <c r="H134" s="18">
        <v>0</v>
      </c>
      <c r="I134" s="18">
        <v>0</v>
      </c>
      <c r="J134" s="19">
        <v>0</v>
      </c>
      <c r="K134" s="17">
        <v>0.2233773531890981</v>
      </c>
      <c r="L134" s="18">
        <v>0.25831724764391967</v>
      </c>
      <c r="M134" s="18">
        <v>0</v>
      </c>
      <c r="N134" s="19">
        <v>0</v>
      </c>
      <c r="O134" s="17">
        <v>0</v>
      </c>
      <c r="P134" s="18">
        <v>0</v>
      </c>
      <c r="Q134" s="18">
        <v>0</v>
      </c>
      <c r="R134" s="19">
        <v>0</v>
      </c>
      <c r="S134" s="17">
        <v>0</v>
      </c>
      <c r="T134" s="18">
        <v>0</v>
      </c>
      <c r="U134" s="18">
        <v>0</v>
      </c>
      <c r="V134" s="18">
        <v>0</v>
      </c>
      <c r="W134" s="17">
        <v>0.10716488227027793</v>
      </c>
      <c r="X134" s="18">
        <v>0.13866737552532918</v>
      </c>
      <c r="Y134" s="18">
        <v>0</v>
      </c>
      <c r="Z134" s="19">
        <v>0</v>
      </c>
    </row>
    <row r="135" spans="1:26">
      <c r="A135" s="12">
        <v>11</v>
      </c>
      <c r="B135" s="27" t="s">
        <v>19</v>
      </c>
      <c r="C135" s="17">
        <v>7.6507355024349688E-2</v>
      </c>
      <c r="D135" s="18">
        <v>3.7913230542830384E-2</v>
      </c>
      <c r="E135" s="18"/>
      <c r="F135" s="19"/>
      <c r="G135" s="17">
        <v>0</v>
      </c>
      <c r="H135" s="18">
        <v>0</v>
      </c>
      <c r="I135" s="18">
        <v>0</v>
      </c>
      <c r="J135" s="19">
        <v>0</v>
      </c>
      <c r="K135" s="17">
        <v>0</v>
      </c>
      <c r="L135" s="18">
        <v>0</v>
      </c>
      <c r="M135" s="18">
        <v>0</v>
      </c>
      <c r="N135" s="19">
        <v>0</v>
      </c>
      <c r="O135" s="17">
        <v>0</v>
      </c>
      <c r="P135" s="18">
        <v>0</v>
      </c>
      <c r="Q135" s="18">
        <v>0</v>
      </c>
      <c r="R135" s="19">
        <v>0</v>
      </c>
      <c r="S135" s="17">
        <v>0</v>
      </c>
      <c r="T135" s="18">
        <v>0</v>
      </c>
      <c r="U135" s="18">
        <v>0</v>
      </c>
      <c r="V135" s="18">
        <v>0</v>
      </c>
      <c r="W135" s="17">
        <v>1.6003963078665091</v>
      </c>
      <c r="X135" s="18">
        <v>2.1127152025793077</v>
      </c>
      <c r="Y135" s="18">
        <v>0</v>
      </c>
      <c r="Z135" s="19">
        <v>0</v>
      </c>
    </row>
    <row r="136" spans="1:26">
      <c r="A136" s="22">
        <v>12</v>
      </c>
      <c r="B136" s="25" t="s">
        <v>20</v>
      </c>
      <c r="C136" s="17">
        <v>32.792247790858532</v>
      </c>
      <c r="D136" s="18">
        <v>16.285472764876577</v>
      </c>
      <c r="E136" s="18"/>
      <c r="F136" s="19"/>
      <c r="G136" s="17">
        <v>3.6651763053409643</v>
      </c>
      <c r="H136" s="18">
        <v>3.6594483828090376</v>
      </c>
      <c r="I136" s="18">
        <v>3.1413556182558304</v>
      </c>
      <c r="J136" s="19">
        <v>2.6331683659211578</v>
      </c>
      <c r="K136" s="17">
        <v>0.84433829727451548</v>
      </c>
      <c r="L136" s="18">
        <v>0.83172476439196097</v>
      </c>
      <c r="M136" s="18">
        <v>1.4959904759765492</v>
      </c>
      <c r="N136" s="19">
        <v>1.4934271320833459</v>
      </c>
      <c r="O136" s="17">
        <v>2.0091262003677719</v>
      </c>
      <c r="P136" s="18">
        <v>2.1036919560603584</v>
      </c>
      <c r="Q136" s="18">
        <v>2.4894360968234039</v>
      </c>
      <c r="R136" s="19">
        <v>2.6329262985433788</v>
      </c>
      <c r="S136" s="17">
        <v>2.3898698056001426</v>
      </c>
      <c r="T136" s="18">
        <v>2.2849879084764679</v>
      </c>
      <c r="U136" s="18">
        <v>2.5463608821437367</v>
      </c>
      <c r="V136" s="18">
        <v>2.5753147482014396</v>
      </c>
      <c r="W136" s="17">
        <v>1.2091433886344567</v>
      </c>
      <c r="X136" s="18">
        <v>1.5815929906615376</v>
      </c>
      <c r="Y136" s="18">
        <v>3.3883982398466563</v>
      </c>
      <c r="Z136" s="19">
        <v>3.3490799570921692</v>
      </c>
    </row>
    <row r="137" spans="1:26">
      <c r="A137" s="12">
        <v>13</v>
      </c>
      <c r="B137" s="13" t="s">
        <v>21</v>
      </c>
      <c r="C137" s="17">
        <v>2.7830984903013904</v>
      </c>
      <c r="D137" s="18">
        <v>1.382635764897747</v>
      </c>
      <c r="E137" s="18"/>
      <c r="F137" s="19"/>
      <c r="G137" s="17">
        <v>0.31707842823666849</v>
      </c>
      <c r="H137" s="18">
        <v>0.32537660611431102</v>
      </c>
      <c r="I137" s="18">
        <v>0</v>
      </c>
      <c r="J137" s="19">
        <v>0</v>
      </c>
      <c r="K137" s="17">
        <v>0</v>
      </c>
      <c r="L137" s="18">
        <v>0</v>
      </c>
      <c r="M137" s="18">
        <v>0.19242720336635294</v>
      </c>
      <c r="N137" s="19">
        <v>0.17065609443467378</v>
      </c>
      <c r="O137" s="17">
        <v>1.2168267157029671</v>
      </c>
      <c r="P137" s="18">
        <v>1.1917811414044823</v>
      </c>
      <c r="Q137" s="18">
        <v>0.27945405208375518</v>
      </c>
      <c r="R137" s="19">
        <v>0</v>
      </c>
      <c r="S137" s="17">
        <v>0</v>
      </c>
      <c r="T137" s="18">
        <v>0</v>
      </c>
      <c r="U137" s="18">
        <v>0</v>
      </c>
      <c r="V137" s="18">
        <v>0</v>
      </c>
      <c r="W137" s="17">
        <v>0</v>
      </c>
      <c r="X137" s="18">
        <v>0</v>
      </c>
      <c r="Y137" s="18">
        <v>0.38851159866854912</v>
      </c>
      <c r="Z137" s="19">
        <v>0.39710372142916078</v>
      </c>
    </row>
    <row r="138" spans="1:26">
      <c r="A138" s="22">
        <v>14</v>
      </c>
      <c r="B138" s="25" t="s">
        <v>22</v>
      </c>
      <c r="C138" s="17">
        <v>5.7745222939458843E-2</v>
      </c>
      <c r="D138" s="18">
        <v>2.986844906058865E-2</v>
      </c>
      <c r="E138" s="18"/>
      <c r="F138" s="19"/>
      <c r="G138" s="17">
        <v>5.3819891108592417</v>
      </c>
      <c r="H138" s="18">
        <v>5.313330748781568</v>
      </c>
      <c r="I138" s="18">
        <v>5.9305606409786975</v>
      </c>
      <c r="J138" s="19">
        <v>4.9237814497300114</v>
      </c>
      <c r="K138" s="17">
        <v>4.0741781399269463</v>
      </c>
      <c r="L138" s="18">
        <v>4.1089474281821285</v>
      </c>
      <c r="M138" s="18">
        <v>5.9981880395636313</v>
      </c>
      <c r="N138" s="19">
        <v>6.0258741467195289</v>
      </c>
      <c r="O138" s="17">
        <v>6.9944834161955987</v>
      </c>
      <c r="P138" s="18">
        <v>6.8894745434615281</v>
      </c>
      <c r="Q138" s="18">
        <v>5.1975753648427903</v>
      </c>
      <c r="R138" s="19">
        <v>4.53882190307964</v>
      </c>
      <c r="S138" s="17">
        <v>5.854694618739563</v>
      </c>
      <c r="T138" s="18">
        <v>10.152229180876789</v>
      </c>
      <c r="U138" s="18">
        <v>5.1204719918609669</v>
      </c>
      <c r="V138" s="18">
        <v>5.214703237410073</v>
      </c>
      <c r="W138" s="17">
        <v>5.3764419237107361</v>
      </c>
      <c r="X138" s="18">
        <v>7.1309043772506531</v>
      </c>
      <c r="Y138" s="18">
        <v>7.6733617073899651</v>
      </c>
      <c r="Z138" s="19">
        <v>7.755384107599637</v>
      </c>
    </row>
    <row r="139" spans="1:26">
      <c r="A139" s="12">
        <v>15</v>
      </c>
      <c r="B139" s="13" t="s">
        <v>23</v>
      </c>
      <c r="C139" s="17">
        <v>1.6942553770142241</v>
      </c>
      <c r="D139" s="18">
        <v>0.84296500981422373</v>
      </c>
      <c r="E139" s="18"/>
      <c r="F139" s="19"/>
      <c r="G139" s="17">
        <v>2.6381481507235094</v>
      </c>
      <c r="H139" s="18">
        <v>2.6307044749667696</v>
      </c>
      <c r="I139" s="18">
        <v>2.6610523595166811</v>
      </c>
      <c r="J139" s="19">
        <v>2.2410327140294415</v>
      </c>
      <c r="K139" s="17">
        <v>1.4006743467266087</v>
      </c>
      <c r="L139" s="18">
        <v>1.4037129556034973</v>
      </c>
      <c r="M139" s="18">
        <v>2.0740208300575782</v>
      </c>
      <c r="N139" s="19">
        <v>2.067248934330939</v>
      </c>
      <c r="O139" s="17">
        <v>2.4404640286953159</v>
      </c>
      <c r="P139" s="18">
        <v>2.4721878862793569</v>
      </c>
      <c r="Q139" s="18">
        <v>1.867077072617553</v>
      </c>
      <c r="R139" s="19">
        <v>1.9532549983360212</v>
      </c>
      <c r="S139" s="17">
        <v>1.5273116396711901</v>
      </c>
      <c r="T139" s="18">
        <v>1.452533019160414</v>
      </c>
      <c r="U139" s="18">
        <v>1.7083040094242417</v>
      </c>
      <c r="V139" s="18">
        <v>1.8086780575539572</v>
      </c>
      <c r="W139" s="17">
        <v>2.3788581885090943</v>
      </c>
      <c r="X139" s="18">
        <v>3.1317895944116798</v>
      </c>
      <c r="Y139" s="18">
        <v>3.3090470645217804</v>
      </c>
      <c r="Z139" s="19">
        <v>3.3346398217674724</v>
      </c>
    </row>
    <row r="140" spans="1:26">
      <c r="A140" s="22">
        <v>16</v>
      </c>
      <c r="B140" s="25" t="s">
        <v>24</v>
      </c>
      <c r="C140" s="17">
        <v>2.3923371745145241</v>
      </c>
      <c r="D140" s="18">
        <v>1.1899012782696274</v>
      </c>
      <c r="E140" s="18"/>
      <c r="F140" s="19"/>
      <c r="G140" s="17">
        <v>6.7991071738994391</v>
      </c>
      <c r="H140" s="18">
        <v>6.7962173238812582</v>
      </c>
      <c r="I140" s="18">
        <v>8.4225376381141075</v>
      </c>
      <c r="J140" s="19">
        <v>7.0341022797955484</v>
      </c>
      <c r="K140" s="17">
        <v>7.3082326496206802</v>
      </c>
      <c r="L140" s="18">
        <v>7.359202906778699</v>
      </c>
      <c r="M140" s="18">
        <v>9.9680286319698688</v>
      </c>
      <c r="N140" s="19">
        <v>9.9569261036754408</v>
      </c>
      <c r="O140" s="17">
        <v>6.4087720493087241</v>
      </c>
      <c r="P140" s="18">
        <v>6.8498262471721416</v>
      </c>
      <c r="Q140" s="18">
        <v>11.419815587326013</v>
      </c>
      <c r="R140" s="19">
        <v>9.044364232137827</v>
      </c>
      <c r="S140" s="17">
        <v>7.975420334970897</v>
      </c>
      <c r="T140" s="18">
        <v>7.5261983009859241</v>
      </c>
      <c r="U140" s="18">
        <v>10.640547260780234</v>
      </c>
      <c r="V140" s="18">
        <v>9.3558902877697872</v>
      </c>
      <c r="W140" s="17">
        <v>6.6725304055078718</v>
      </c>
      <c r="X140" s="18">
        <v>8.7595919482792848</v>
      </c>
      <c r="Y140" s="18">
        <v>10.965920216000082</v>
      </c>
      <c r="Z140" s="19">
        <v>11.038452017493192</v>
      </c>
    </row>
    <row r="141" spans="1:26" ht="16" thickBot="1">
      <c r="A141" s="12">
        <v>17</v>
      </c>
      <c r="B141" s="13" t="s">
        <v>25</v>
      </c>
      <c r="C141" s="31">
        <v>4.6664226684195382</v>
      </c>
      <c r="D141" s="32">
        <v>2.3151792603355212</v>
      </c>
      <c r="E141" s="32"/>
      <c r="F141" s="33"/>
      <c r="G141" s="31">
        <v>3.5156766078170962</v>
      </c>
      <c r="H141" s="32">
        <v>3.5161442179884803</v>
      </c>
      <c r="I141" s="32">
        <v>4.3614982015550616</v>
      </c>
      <c r="J141" s="33">
        <v>3.6662429798703697</v>
      </c>
      <c r="K141" s="31">
        <v>4.7681933127282949</v>
      </c>
      <c r="L141" s="32">
        <v>4.7760304303395031</v>
      </c>
      <c r="M141" s="32">
        <v>6.7514244854256971</v>
      </c>
      <c r="N141" s="33">
        <v>6.7144603094166397</v>
      </c>
      <c r="O141" s="31">
        <v>4.1113305636904354</v>
      </c>
      <c r="P141" s="32">
        <v>4.2027194066749063</v>
      </c>
      <c r="Q141" s="32">
        <v>3.8043551631498653</v>
      </c>
      <c r="R141" s="33">
        <v>4.3532242787292317</v>
      </c>
      <c r="S141" s="31">
        <v>3.9674432932859904</v>
      </c>
      <c r="T141" s="32">
        <v>3.7065170211446641</v>
      </c>
      <c r="U141" s="32">
        <v>3.900571987730205</v>
      </c>
      <c r="V141" s="32">
        <v>4.2221223021582741</v>
      </c>
      <c r="W141" s="31">
        <v>2.700352835319928</v>
      </c>
      <c r="X141" s="32">
        <v>3.5490999037756419</v>
      </c>
      <c r="Y141" s="32">
        <v>3.8181312282943622</v>
      </c>
      <c r="Z141" s="33">
        <v>3.8297301757570756</v>
      </c>
    </row>
    <row r="142" spans="1:26">
      <c r="C142" s="45">
        <v>100.00000000000001</v>
      </c>
      <c r="D142" s="45">
        <v>100.00000000000001</v>
      </c>
      <c r="E142" s="45"/>
      <c r="F142" s="45"/>
      <c r="G142" s="45">
        <v>100.00000000000001</v>
      </c>
      <c r="H142" s="45">
        <v>100.00000000000001</v>
      </c>
      <c r="I142" s="45">
        <v>100.00000000000001</v>
      </c>
      <c r="J142" s="45">
        <v>100.00000000000001</v>
      </c>
      <c r="K142" s="45">
        <v>100.00000000000001</v>
      </c>
      <c r="L142" s="45">
        <v>100.00000000000001</v>
      </c>
      <c r="M142" s="45">
        <v>100.00000000000001</v>
      </c>
      <c r="N142" s="45">
        <v>100.00000000000001</v>
      </c>
      <c r="O142" s="45">
        <v>100.00000000000001</v>
      </c>
      <c r="P142" s="45">
        <v>100.00000000000001</v>
      </c>
      <c r="Q142" s="45">
        <v>100.00000000000001</v>
      </c>
      <c r="R142" s="45">
        <v>100.00000000000001</v>
      </c>
      <c r="S142" s="45">
        <v>100.00000000000001</v>
      </c>
      <c r="T142" s="45">
        <v>100.00000000000001</v>
      </c>
      <c r="U142" s="45">
        <v>100.00000000000001</v>
      </c>
      <c r="V142" s="45">
        <v>100.00000000000001</v>
      </c>
      <c r="W142" s="45">
        <v>100.00000000000001</v>
      </c>
      <c r="X142" s="45">
        <v>100.00000000000001</v>
      </c>
      <c r="Y142" s="45">
        <v>100.00000000000001</v>
      </c>
      <c r="Z142" s="45">
        <v>100.00000000000001</v>
      </c>
    </row>
    <row r="144" spans="1:26" ht="16" thickBot="1"/>
    <row r="145" spans="1:18" ht="26" thickBot="1">
      <c r="A145" s="1" t="s">
        <v>58</v>
      </c>
      <c r="O145" s="46" t="s">
        <v>1</v>
      </c>
      <c r="P145" s="47"/>
      <c r="Q145" s="47" t="s">
        <v>2</v>
      </c>
      <c r="R145" s="48"/>
    </row>
    <row r="146" spans="1:18" ht="16" thickBot="1">
      <c r="C146" s="46" t="s">
        <v>1</v>
      </c>
      <c r="D146" s="47"/>
      <c r="E146" s="47" t="s">
        <v>2</v>
      </c>
      <c r="F146" s="48"/>
      <c r="G146" s="46" t="s">
        <v>1</v>
      </c>
      <c r="H146" s="47"/>
      <c r="I146" s="47" t="s">
        <v>2</v>
      </c>
      <c r="J146" s="48"/>
      <c r="K146" s="46" t="s">
        <v>1</v>
      </c>
      <c r="L146" s="47"/>
      <c r="M146" s="47" t="s">
        <v>2</v>
      </c>
      <c r="N146" s="48"/>
      <c r="O146" t="s">
        <v>59</v>
      </c>
    </row>
    <row r="147" spans="1:18" ht="16" thickBot="1">
      <c r="C147" s="55" t="s">
        <v>60</v>
      </c>
      <c r="D147" s="56"/>
      <c r="E147" s="56"/>
      <c r="F147" s="57"/>
      <c r="G147" s="52" t="s">
        <v>61</v>
      </c>
      <c r="H147" s="53"/>
      <c r="I147" s="53"/>
      <c r="J147" s="54"/>
      <c r="K147" s="55" t="s">
        <v>62</v>
      </c>
      <c r="L147" s="56"/>
      <c r="M147" s="56"/>
      <c r="N147" s="56"/>
      <c r="O147" s="52" t="s">
        <v>63</v>
      </c>
      <c r="P147" s="53"/>
      <c r="Q147" s="53"/>
      <c r="R147" s="54"/>
    </row>
    <row r="148" spans="1:18">
      <c r="A148" s="3" t="s">
        <v>6</v>
      </c>
      <c r="B148" s="4" t="s">
        <v>7</v>
      </c>
      <c r="C148" s="8" t="s">
        <v>8</v>
      </c>
      <c r="D148" s="9" t="s">
        <v>8</v>
      </c>
      <c r="E148" s="9" t="s">
        <v>8</v>
      </c>
      <c r="F148" s="10" t="s">
        <v>8</v>
      </c>
      <c r="G148" s="35" t="s">
        <v>8</v>
      </c>
      <c r="H148" s="20" t="s">
        <v>8</v>
      </c>
      <c r="I148" s="20" t="s">
        <v>8</v>
      </c>
      <c r="J148" s="36" t="s">
        <v>8</v>
      </c>
      <c r="K148" s="8" t="s">
        <v>8</v>
      </c>
      <c r="L148" s="9" t="s">
        <v>8</v>
      </c>
      <c r="M148" s="9" t="s">
        <v>8</v>
      </c>
      <c r="N148" s="10" t="s">
        <v>8</v>
      </c>
      <c r="O148" s="8" t="s">
        <v>8</v>
      </c>
      <c r="P148" s="9" t="s">
        <v>8</v>
      </c>
      <c r="Q148" s="9" t="s">
        <v>8</v>
      </c>
      <c r="R148" s="10" t="s">
        <v>8</v>
      </c>
    </row>
    <row r="149" spans="1:18">
      <c r="A149" s="12">
        <v>1</v>
      </c>
      <c r="B149" s="13" t="s">
        <v>9</v>
      </c>
      <c r="C149" s="17">
        <v>2.5770635834771389</v>
      </c>
      <c r="D149" s="18">
        <v>2.5777785852064659</v>
      </c>
      <c r="E149" s="18">
        <v>0.50790986635269364</v>
      </c>
      <c r="F149" s="19">
        <v>0.50310471782785759</v>
      </c>
      <c r="G149" s="35">
        <v>0.48</v>
      </c>
      <c r="H149" s="18">
        <v>0</v>
      </c>
      <c r="I149" s="20">
        <v>0.12</v>
      </c>
      <c r="J149" s="36"/>
      <c r="K149" s="17">
        <v>0</v>
      </c>
      <c r="L149" s="18">
        <v>0</v>
      </c>
      <c r="M149" s="20"/>
      <c r="N149" s="19">
        <v>0</v>
      </c>
      <c r="O149" s="17">
        <v>0</v>
      </c>
      <c r="P149" s="18">
        <v>0</v>
      </c>
      <c r="Q149" s="18">
        <v>0.34942532289953449</v>
      </c>
      <c r="R149" s="19">
        <v>0.35257076692322747</v>
      </c>
    </row>
    <row r="150" spans="1:18">
      <c r="A150" s="22">
        <v>2</v>
      </c>
      <c r="B150" s="23" t="s">
        <v>10</v>
      </c>
      <c r="C150" s="17">
        <v>6.1081745050418919</v>
      </c>
      <c r="D150" s="18">
        <v>6.1035363777142564</v>
      </c>
      <c r="E150" s="18">
        <v>5.915803449528414</v>
      </c>
      <c r="F150" s="19">
        <v>5.925523405970095</v>
      </c>
      <c r="G150" s="35">
        <v>5.29</v>
      </c>
      <c r="H150" s="18">
        <v>5.1438769659999997</v>
      </c>
      <c r="I150" s="20">
        <v>4.58</v>
      </c>
      <c r="J150" s="36"/>
      <c r="K150" s="17">
        <v>19.125577812018491</v>
      </c>
      <c r="L150" s="18">
        <v>20.825890365077591</v>
      </c>
      <c r="M150" s="18">
        <v>17.665111711269333</v>
      </c>
      <c r="N150" s="19">
        <v>19.123431852009357</v>
      </c>
      <c r="O150" s="17">
        <v>18.948333968895255</v>
      </c>
      <c r="P150" s="18">
        <v>20.644310011293872</v>
      </c>
      <c r="Q150" s="18">
        <v>26.670287187158365</v>
      </c>
      <c r="R150" s="19">
        <v>26.668594161098934</v>
      </c>
    </row>
    <row r="151" spans="1:18">
      <c r="A151" s="12">
        <v>3</v>
      </c>
      <c r="B151" s="24" t="s">
        <v>11</v>
      </c>
      <c r="C151" s="17">
        <v>1.8274549606940134</v>
      </c>
      <c r="D151" s="18">
        <v>1.8042184913154218</v>
      </c>
      <c r="E151" s="18">
        <v>0</v>
      </c>
      <c r="F151" s="19">
        <v>0</v>
      </c>
      <c r="G151" s="35">
        <v>1.55</v>
      </c>
      <c r="H151" s="18">
        <v>1.4926491079999999</v>
      </c>
      <c r="I151" s="20">
        <v>0.55000000000000004</v>
      </c>
      <c r="J151" s="36"/>
      <c r="K151" s="17">
        <v>2.9866461222393426</v>
      </c>
      <c r="L151" s="18">
        <v>3.2642067656581437</v>
      </c>
      <c r="M151" s="18">
        <v>2.2939684098535063</v>
      </c>
      <c r="N151" s="19">
        <v>2.4913175986958676</v>
      </c>
      <c r="O151" s="17">
        <v>2.5219784183783895</v>
      </c>
      <c r="P151" s="18">
        <v>2.7496673338626167</v>
      </c>
      <c r="Q151" s="18">
        <v>4.1108368878212005</v>
      </c>
      <c r="R151" s="19">
        <v>4.1008401446724534</v>
      </c>
    </row>
    <row r="152" spans="1:18">
      <c r="A152" s="22">
        <v>4</v>
      </c>
      <c r="B152" s="25" t="s">
        <v>12</v>
      </c>
      <c r="C152" s="17">
        <v>35.21343294055761</v>
      </c>
      <c r="D152" s="18">
        <v>35.249649783559242</v>
      </c>
      <c r="E152" s="18">
        <v>41.158861179653542</v>
      </c>
      <c r="F152" s="19">
        <v>41.16788677701593</v>
      </c>
      <c r="G152" s="35">
        <v>51.04</v>
      </c>
      <c r="H152" s="18">
        <v>49.624951920000001</v>
      </c>
      <c r="I152" s="20">
        <v>53.52</v>
      </c>
      <c r="J152" s="36"/>
      <c r="K152" s="17">
        <v>9.8330765279917838</v>
      </c>
      <c r="L152" s="18">
        <v>10.734620966841575</v>
      </c>
      <c r="M152" s="18">
        <v>10.684998772403633</v>
      </c>
      <c r="N152" s="19">
        <v>11.554681409029698</v>
      </c>
      <c r="O152" s="17">
        <v>8.1997794428355011</v>
      </c>
      <c r="P152" s="18">
        <v>8.9299891534066109</v>
      </c>
      <c r="Q152" s="18">
        <v>11.816554282360659</v>
      </c>
      <c r="R152" s="19">
        <v>11.832421775196558</v>
      </c>
    </row>
    <row r="153" spans="1:18">
      <c r="A153" s="12">
        <v>5</v>
      </c>
      <c r="B153" s="13" t="s">
        <v>13</v>
      </c>
      <c r="C153" s="17">
        <v>0.82684102634259893</v>
      </c>
      <c r="D153" s="18">
        <v>0.83132226781262997</v>
      </c>
      <c r="E153" s="18">
        <v>0.89494845748211982</v>
      </c>
      <c r="F153" s="19">
        <v>0.89386566371357223</v>
      </c>
      <c r="G153" s="35">
        <v>0.05</v>
      </c>
      <c r="H153" s="18">
        <v>4.8417795E-2</v>
      </c>
      <c r="I153" s="20">
        <v>0.03</v>
      </c>
      <c r="J153" s="36"/>
      <c r="K153" s="17">
        <v>4.0665125834617362</v>
      </c>
      <c r="L153" s="18">
        <v>4.4001897956905216</v>
      </c>
      <c r="M153" s="18">
        <v>4.1820116212456009</v>
      </c>
      <c r="N153" s="19">
        <v>4.4989014104472327</v>
      </c>
      <c r="O153" s="17">
        <v>4.763622496830779</v>
      </c>
      <c r="P153" s="18">
        <v>5.3360766641693402</v>
      </c>
      <c r="Q153" s="18">
        <v>2.7568137615855051</v>
      </c>
      <c r="R153" s="19">
        <v>2.7462238864064439</v>
      </c>
    </row>
    <row r="154" spans="1:18">
      <c r="A154" s="22">
        <v>6</v>
      </c>
      <c r="B154" s="25" t="s">
        <v>14</v>
      </c>
      <c r="C154" s="17">
        <v>11.370199882851315</v>
      </c>
      <c r="D154" s="18">
        <v>11.401800095462871</v>
      </c>
      <c r="E154" s="18">
        <v>13.065996968823978</v>
      </c>
      <c r="F154" s="19">
        <v>13.066069128053584</v>
      </c>
      <c r="G154" s="35">
        <v>1.1299999999999999</v>
      </c>
      <c r="H154" s="18">
        <v>1.101114374</v>
      </c>
      <c r="I154" s="20">
        <v>0.56999999999999995</v>
      </c>
      <c r="J154" s="36"/>
      <c r="K154" s="17">
        <v>7.2573189522342068</v>
      </c>
      <c r="L154" s="18">
        <v>7.97421011499386</v>
      </c>
      <c r="M154" s="18">
        <v>7.6929372289058024</v>
      </c>
      <c r="N154" s="19">
        <v>0</v>
      </c>
      <c r="O154" s="17">
        <v>8.387356096756573</v>
      </c>
      <c r="P154" s="18">
        <v>0</v>
      </c>
      <c r="Q154" s="18">
        <v>5.8526164702759784</v>
      </c>
      <c r="R154" s="19">
        <v>5.8554898108339257</v>
      </c>
    </row>
    <row r="155" spans="1:18">
      <c r="A155" s="12">
        <v>7</v>
      </c>
      <c r="B155" s="13" t="s">
        <v>15</v>
      </c>
      <c r="C155" s="17">
        <v>5.1700279559224045</v>
      </c>
      <c r="D155" s="18">
        <v>5.175943820032316</v>
      </c>
      <c r="E155" s="18">
        <v>1.7347846236707289</v>
      </c>
      <c r="F155" s="19">
        <v>1.738275645213484</v>
      </c>
      <c r="G155" s="35">
        <v>7.0000000000000007E-2</v>
      </c>
      <c r="H155" s="18">
        <v>2.720274496</v>
      </c>
      <c r="I155" s="20">
        <v>0.03</v>
      </c>
      <c r="J155" s="36"/>
      <c r="K155" s="17">
        <v>8.0341551104262976</v>
      </c>
      <c r="L155" s="18">
        <v>0</v>
      </c>
      <c r="M155" s="18">
        <v>6.9768393485555276</v>
      </c>
      <c r="N155" s="19">
        <v>7.5660925650294129</v>
      </c>
      <c r="O155" s="17">
        <v>7.4020633431931326</v>
      </c>
      <c r="P155" s="18">
        <v>8.0633798879558078</v>
      </c>
      <c r="Q155" s="18">
        <v>5.7377519144629501</v>
      </c>
      <c r="R155" s="19">
        <v>5.7413046447979434</v>
      </c>
    </row>
    <row r="156" spans="1:18">
      <c r="A156" s="22">
        <v>8</v>
      </c>
      <c r="B156" s="25" t="s">
        <v>16</v>
      </c>
      <c r="C156" s="17">
        <v>21.660281886510585</v>
      </c>
      <c r="D156" s="18">
        <v>21.639295979329852</v>
      </c>
      <c r="E156" s="18">
        <v>21.991683054222978</v>
      </c>
      <c r="F156" s="19">
        <v>21.988240537784755</v>
      </c>
      <c r="G156" s="35">
        <v>19.5</v>
      </c>
      <c r="H156" s="18">
        <v>18.954046049999999</v>
      </c>
      <c r="I156" s="20">
        <v>21.58</v>
      </c>
      <c r="J156" s="36"/>
      <c r="K156" s="17">
        <v>20.486646122239343</v>
      </c>
      <c r="L156" s="18">
        <v>22.243775817796134</v>
      </c>
      <c r="M156" s="18">
        <v>21.278337016122432</v>
      </c>
      <c r="N156" s="19">
        <v>23.102275143525411</v>
      </c>
      <c r="O156" s="17">
        <v>21.097220361342718</v>
      </c>
      <c r="P156" s="18">
        <v>23.030560556419054</v>
      </c>
      <c r="Q156" s="18">
        <v>13.299743664572308</v>
      </c>
      <c r="R156" s="19">
        <v>13.299296565650925</v>
      </c>
    </row>
    <row r="157" spans="1:18">
      <c r="A157" s="12">
        <v>9</v>
      </c>
      <c r="B157" s="13" t="s">
        <v>17</v>
      </c>
      <c r="C157" s="17">
        <v>2.1409276574942293</v>
      </c>
      <c r="D157" s="18">
        <v>2.1553219014270231</v>
      </c>
      <c r="E157" s="18">
        <v>0.91311046256748118</v>
      </c>
      <c r="F157" s="19">
        <v>0.91157201907401886</v>
      </c>
      <c r="G157" s="35">
        <v>7.0000000000000007E-2</v>
      </c>
      <c r="H157" s="18">
        <v>0.71155252099999999</v>
      </c>
      <c r="I157" s="20">
        <v>0.5</v>
      </c>
      <c r="J157" s="36"/>
      <c r="K157" s="17">
        <v>3.7981510015408322</v>
      </c>
      <c r="L157" s="18">
        <v>4.1350340515797699</v>
      </c>
      <c r="M157" s="18">
        <v>3.1671986250920692</v>
      </c>
      <c r="N157" s="19">
        <v>3.4454957828336519</v>
      </c>
      <c r="O157" s="17">
        <v>2.5405299555793746</v>
      </c>
      <c r="P157" s="18">
        <v>2.7664404164197296</v>
      </c>
      <c r="Q157" s="18">
        <v>8.9804369491510147E-2</v>
      </c>
      <c r="R157" s="19">
        <v>9.247842468605956E-2</v>
      </c>
    </row>
    <row r="158" spans="1:18">
      <c r="A158" s="22">
        <v>10</v>
      </c>
      <c r="B158" s="26" t="s">
        <v>18</v>
      </c>
      <c r="C158" s="17">
        <v>0.36972959150811796</v>
      </c>
      <c r="D158" s="18">
        <v>0.37520110469716073</v>
      </c>
      <c r="E158" s="18">
        <v>0</v>
      </c>
      <c r="F158" s="19">
        <v>0</v>
      </c>
      <c r="G158" s="35">
        <v>0</v>
      </c>
      <c r="H158" s="18">
        <v>0</v>
      </c>
      <c r="I158" s="20">
        <v>0.01</v>
      </c>
      <c r="J158" s="36"/>
      <c r="K158" s="17">
        <v>0</v>
      </c>
      <c r="L158" s="18">
        <v>0</v>
      </c>
      <c r="M158" s="18">
        <v>0</v>
      </c>
      <c r="N158" s="19">
        <v>0</v>
      </c>
      <c r="O158" s="17">
        <v>0</v>
      </c>
      <c r="P158" s="18">
        <v>0</v>
      </c>
      <c r="Q158" s="18">
        <v>2.6928426432891853E-2</v>
      </c>
      <c r="R158" s="19">
        <v>2.9156392227410448E-2</v>
      </c>
    </row>
    <row r="159" spans="1:18">
      <c r="A159" s="12">
        <v>11</v>
      </c>
      <c r="B159" s="27" t="s">
        <v>19</v>
      </c>
      <c r="C159" s="17">
        <v>0.51497391695396655</v>
      </c>
      <c r="D159" s="18">
        <v>0.50943881244331313</v>
      </c>
      <c r="E159" s="18">
        <v>0</v>
      </c>
      <c r="F159" s="19">
        <v>0</v>
      </c>
      <c r="G159" s="35">
        <v>0.03</v>
      </c>
      <c r="H159" s="18">
        <v>0</v>
      </c>
      <c r="I159" s="20">
        <v>0.04</v>
      </c>
      <c r="J159" s="36"/>
      <c r="K159" s="17">
        <v>0</v>
      </c>
      <c r="L159" s="18">
        <v>0</v>
      </c>
      <c r="M159" s="18">
        <v>0</v>
      </c>
      <c r="N159" s="19">
        <v>0</v>
      </c>
      <c r="O159" s="17">
        <v>0</v>
      </c>
      <c r="P159" s="18">
        <v>0</v>
      </c>
      <c r="Q159" s="18">
        <v>0.12768454830141546</v>
      </c>
      <c r="R159" s="19">
        <v>0.12561652686523089</v>
      </c>
    </row>
    <row r="160" spans="1:18">
      <c r="A160" s="22">
        <v>12</v>
      </c>
      <c r="B160" s="25" t="s">
        <v>20</v>
      </c>
      <c r="C160" s="17">
        <v>6.8441538801380517</v>
      </c>
      <c r="D160" s="18">
        <v>6.8148039311016291</v>
      </c>
      <c r="E160" s="18">
        <v>8.320703433245237</v>
      </c>
      <c r="F160" s="19">
        <v>8.3164919436083125</v>
      </c>
      <c r="G160" s="35">
        <v>16.84</v>
      </c>
      <c r="H160" s="18">
        <v>16.37401053</v>
      </c>
      <c r="I160" s="20">
        <v>14.49</v>
      </c>
      <c r="J160" s="36"/>
      <c r="K160" s="17">
        <v>1.9042116076014384</v>
      </c>
      <c r="L160" s="18">
        <v>2.0109969855978562</v>
      </c>
      <c r="M160" s="18">
        <v>2.2342253866928554</v>
      </c>
      <c r="N160" s="19">
        <v>2.4186689347225174</v>
      </c>
      <c r="O160" s="17">
        <v>2.4817834211095882</v>
      </c>
      <c r="P160" s="18">
        <v>2.689284236657012</v>
      </c>
      <c r="Q160" s="18">
        <v>5.5365617810899321</v>
      </c>
      <c r="R160" s="19">
        <v>5.5348979385889185</v>
      </c>
    </row>
    <row r="161" spans="1:26">
      <c r="A161" s="12">
        <v>13</v>
      </c>
      <c r="B161" s="13" t="s">
        <v>21</v>
      </c>
      <c r="C161" s="17">
        <v>1.615065850905461</v>
      </c>
      <c r="D161" s="18">
        <v>1.6105453199312805</v>
      </c>
      <c r="E161" s="18">
        <v>1.6157921765597403</v>
      </c>
      <c r="F161" s="19">
        <v>1.6143311576903587</v>
      </c>
      <c r="G161" s="35">
        <v>0.95</v>
      </c>
      <c r="H161" s="18">
        <v>0.92429488800000004</v>
      </c>
      <c r="I161" s="20">
        <v>1.02</v>
      </c>
      <c r="J161" s="36"/>
      <c r="K161" s="17">
        <v>0</v>
      </c>
      <c r="L161" s="18">
        <v>0</v>
      </c>
      <c r="M161" s="18">
        <v>0.32981422374989772</v>
      </c>
      <c r="N161" s="19">
        <v>0.37919058756821888</v>
      </c>
      <c r="O161" s="17">
        <v>0</v>
      </c>
      <c r="P161" s="18">
        <v>0</v>
      </c>
      <c r="Q161" s="18">
        <v>0.16073307165087364</v>
      </c>
      <c r="R161" s="19">
        <v>0.16068126289202847</v>
      </c>
    </row>
    <row r="162" spans="1:26">
      <c r="A162" s="22">
        <v>14</v>
      </c>
      <c r="B162" s="25" t="s">
        <v>22</v>
      </c>
      <c r="C162" s="17">
        <v>0</v>
      </c>
      <c r="D162" s="18">
        <v>0</v>
      </c>
      <c r="E162" s="18">
        <v>0</v>
      </c>
      <c r="F162" s="19">
        <v>0</v>
      </c>
      <c r="G162" s="35">
        <v>0.03</v>
      </c>
      <c r="H162" s="18">
        <v>2.4486857000000001E-2</v>
      </c>
      <c r="I162" s="20">
        <v>0.02</v>
      </c>
      <c r="J162" s="36"/>
      <c r="K162" s="17">
        <v>6.6294298921417569</v>
      </c>
      <c r="L162" s="18">
        <v>7.113151724907893</v>
      </c>
      <c r="M162" s="18">
        <v>6.4383337425321221</v>
      </c>
      <c r="N162" s="19">
        <v>6.9468070026224407</v>
      </c>
      <c r="O162" s="17">
        <v>6.9547651684582643</v>
      </c>
      <c r="P162" s="18">
        <v>7.5892607543414314</v>
      </c>
      <c r="Q162" s="18">
        <v>4.5223650889056826</v>
      </c>
      <c r="R162" s="19">
        <v>4.5256629080740396</v>
      </c>
    </row>
    <row r="163" spans="1:26">
      <c r="A163" s="12">
        <v>15</v>
      </c>
      <c r="B163" s="13" t="s">
        <v>23</v>
      </c>
      <c r="C163" s="17">
        <v>0.90293765926149216</v>
      </c>
      <c r="D163" s="18">
        <v>0.88795185008869493</v>
      </c>
      <c r="E163" s="18">
        <v>0.90622142615579238</v>
      </c>
      <c r="F163" s="19">
        <v>0.90241355940482226</v>
      </c>
      <c r="G163" s="35">
        <v>0.63</v>
      </c>
      <c r="H163" s="18">
        <v>0.61274404999999998</v>
      </c>
      <c r="I163" s="20">
        <v>0.69</v>
      </c>
      <c r="J163" s="36"/>
      <c r="K163" s="17">
        <v>1.46507447354905</v>
      </c>
      <c r="L163" s="18">
        <v>1.5965166908563133</v>
      </c>
      <c r="M163" s="18">
        <v>1.6073328422947866</v>
      </c>
      <c r="N163" s="19">
        <v>1.7409100574101637</v>
      </c>
      <c r="O163" s="17">
        <v>1.4490811835880735</v>
      </c>
      <c r="P163" s="18">
        <v>1.5766697603685602</v>
      </c>
      <c r="Q163" s="18">
        <v>1.0094294587966088</v>
      </c>
      <c r="R163" s="19">
        <v>1.008528598104083</v>
      </c>
    </row>
    <row r="164" spans="1:26">
      <c r="A164" s="22">
        <v>16</v>
      </c>
      <c r="B164" s="25" t="s">
        <v>24</v>
      </c>
      <c r="C164" s="17">
        <v>2.3135647948624642</v>
      </c>
      <c r="D164" s="18">
        <v>2.3116195485089617</v>
      </c>
      <c r="E164" s="18">
        <v>2.4268196450267419</v>
      </c>
      <c r="F164" s="19">
        <v>2.4251601204032167</v>
      </c>
      <c r="G164" s="35">
        <v>1.07</v>
      </c>
      <c r="H164" s="18">
        <v>1.037160139</v>
      </c>
      <c r="I164" s="20">
        <v>1.1599999999999999</v>
      </c>
      <c r="J164" s="36"/>
      <c r="K164" s="17">
        <v>9.1050333846944032</v>
      </c>
      <c r="L164" s="18">
        <v>9.9182203862900522</v>
      </c>
      <c r="M164" s="18">
        <v>9.7332023897209261</v>
      </c>
      <c r="N164" s="19">
        <v>10.536714154086045</v>
      </c>
      <c r="O164" s="17">
        <v>9.8312840755665949</v>
      </c>
      <c r="P164" s="18">
        <v>10.712408726475751</v>
      </c>
      <c r="Q164" s="18">
        <v>5.3872958383985194</v>
      </c>
      <c r="R164" s="19">
        <v>5.3855195942696303</v>
      </c>
    </row>
    <row r="165" spans="1:26" ht="16" thickBot="1">
      <c r="A165" s="12">
        <v>17</v>
      </c>
      <c r="B165" s="13" t="s">
        <v>25</v>
      </c>
      <c r="C165" s="31">
        <v>0.54516990747863658</v>
      </c>
      <c r="D165" s="32">
        <v>0.5515721313688704</v>
      </c>
      <c r="E165" s="32">
        <v>0.5473652567105477</v>
      </c>
      <c r="F165" s="33">
        <v>0.54706532424000054</v>
      </c>
      <c r="G165" s="37">
        <v>1.27</v>
      </c>
      <c r="H165" s="32">
        <v>1.230420303</v>
      </c>
      <c r="I165" s="38">
        <v>1.0900000000000001</v>
      </c>
      <c r="J165" s="41"/>
      <c r="K165" s="31">
        <v>5.3081664098613253</v>
      </c>
      <c r="L165" s="32">
        <v>5.7831863347102823</v>
      </c>
      <c r="M165" s="32">
        <v>5.7156886815615016</v>
      </c>
      <c r="N165" s="33">
        <v>6.1955135020199874</v>
      </c>
      <c r="O165" s="31">
        <v>5.4222020674657569</v>
      </c>
      <c r="P165" s="32">
        <v>5.911952498630197</v>
      </c>
      <c r="Q165" s="32">
        <v>12.545167925796083</v>
      </c>
      <c r="R165" s="33">
        <v>12.540716598712217</v>
      </c>
    </row>
    <row r="166" spans="1:26">
      <c r="C166" s="45">
        <v>100</v>
      </c>
      <c r="D166" s="45">
        <v>100</v>
      </c>
      <c r="E166" s="45">
        <v>100</v>
      </c>
      <c r="F166" s="45">
        <v>100</v>
      </c>
      <c r="G166" s="45">
        <v>100</v>
      </c>
      <c r="H166" s="45">
        <v>100</v>
      </c>
      <c r="I166" s="45">
        <v>100</v>
      </c>
      <c r="J166" s="45"/>
      <c r="K166" s="45">
        <v>100</v>
      </c>
      <c r="L166" s="45">
        <v>100</v>
      </c>
      <c r="M166" s="45">
        <v>100</v>
      </c>
      <c r="N166" s="45">
        <v>100</v>
      </c>
      <c r="O166" s="45">
        <v>100</v>
      </c>
      <c r="P166" s="45">
        <v>100</v>
      </c>
      <c r="Q166" s="45">
        <v>100</v>
      </c>
      <c r="R166" s="45">
        <v>100</v>
      </c>
    </row>
    <row r="168" spans="1:26" ht="16" thickBot="1"/>
    <row r="169" spans="1:26" ht="16" thickBot="1">
      <c r="C169" s="46" t="s">
        <v>1</v>
      </c>
      <c r="D169" s="47"/>
      <c r="E169" s="47" t="s">
        <v>2</v>
      </c>
      <c r="F169" s="48"/>
      <c r="G169" s="46" t="s">
        <v>1</v>
      </c>
      <c r="H169" s="47"/>
      <c r="I169" s="47" t="s">
        <v>2</v>
      </c>
      <c r="J169" s="48"/>
    </row>
    <row r="170" spans="1:26" ht="16" thickBot="1">
      <c r="C170" t="s">
        <v>59</v>
      </c>
      <c r="G170" t="s">
        <v>59</v>
      </c>
      <c r="K170" s="46" t="s">
        <v>1</v>
      </c>
      <c r="L170" s="47"/>
      <c r="M170" s="47" t="s">
        <v>2</v>
      </c>
      <c r="N170" s="48"/>
      <c r="O170" s="46" t="s">
        <v>1</v>
      </c>
      <c r="P170" s="47"/>
      <c r="Q170" s="47" t="s">
        <v>2</v>
      </c>
      <c r="R170" s="48"/>
      <c r="S170" s="46" t="s">
        <v>1</v>
      </c>
      <c r="T170" s="47"/>
      <c r="U170" s="47" t="s">
        <v>2</v>
      </c>
      <c r="V170" s="48"/>
      <c r="W170" s="46" t="s">
        <v>1</v>
      </c>
      <c r="X170" s="47"/>
      <c r="Y170" s="47" t="s">
        <v>2</v>
      </c>
      <c r="Z170" s="48"/>
    </row>
    <row r="171" spans="1:26" ht="16" thickBot="1">
      <c r="C171" s="49" t="s">
        <v>64</v>
      </c>
      <c r="D171" s="50"/>
      <c r="E171" s="50"/>
      <c r="F171" s="51"/>
      <c r="G171" s="49" t="s">
        <v>65</v>
      </c>
      <c r="H171" s="50"/>
      <c r="I171" s="50"/>
      <c r="J171" s="51"/>
      <c r="K171" s="52" t="s">
        <v>66</v>
      </c>
      <c r="L171" s="53"/>
      <c r="M171" s="53"/>
      <c r="N171" s="54"/>
      <c r="O171" s="49" t="s">
        <v>67</v>
      </c>
      <c r="P171" s="50"/>
      <c r="Q171" s="50"/>
      <c r="R171" s="51"/>
      <c r="S171" s="49" t="s">
        <v>68</v>
      </c>
      <c r="T171" s="50"/>
      <c r="U171" s="50"/>
      <c r="V171" s="51"/>
      <c r="W171" s="52" t="s">
        <v>69</v>
      </c>
      <c r="X171" s="53"/>
      <c r="Y171" s="53"/>
      <c r="Z171" s="53"/>
    </row>
    <row r="172" spans="1:26">
      <c r="A172" s="3" t="s">
        <v>6</v>
      </c>
      <c r="B172" s="4" t="s">
        <v>7</v>
      </c>
      <c r="C172" s="8" t="s">
        <v>8</v>
      </c>
      <c r="D172" s="9" t="s">
        <v>8</v>
      </c>
      <c r="E172" s="9" t="s">
        <v>8</v>
      </c>
      <c r="F172" s="10" t="s">
        <v>8</v>
      </c>
      <c r="G172" s="8" t="s">
        <v>8</v>
      </c>
      <c r="H172" s="9" t="s">
        <v>8</v>
      </c>
      <c r="I172" s="9" t="s">
        <v>8</v>
      </c>
      <c r="J172" s="10" t="s">
        <v>8</v>
      </c>
      <c r="K172" s="8" t="s">
        <v>8</v>
      </c>
      <c r="L172" s="9" t="s">
        <v>8</v>
      </c>
      <c r="M172" s="9" t="s">
        <v>8</v>
      </c>
      <c r="N172" s="10" t="s">
        <v>8</v>
      </c>
      <c r="O172" s="8" t="s">
        <v>8</v>
      </c>
      <c r="P172" s="9" t="s">
        <v>8</v>
      </c>
      <c r="Q172" s="9" t="s">
        <v>8</v>
      </c>
      <c r="R172" s="10" t="s">
        <v>8</v>
      </c>
      <c r="S172" s="8" t="s">
        <v>8</v>
      </c>
      <c r="T172" s="9" t="s">
        <v>8</v>
      </c>
      <c r="U172" s="9" t="s">
        <v>8</v>
      </c>
      <c r="V172" s="10" t="s">
        <v>8</v>
      </c>
      <c r="W172" s="8" t="s">
        <v>8</v>
      </c>
      <c r="X172" s="9" t="s">
        <v>8</v>
      </c>
      <c r="Y172" s="9" t="s">
        <v>8</v>
      </c>
      <c r="Z172" s="10" t="s">
        <v>8</v>
      </c>
    </row>
    <row r="173" spans="1:26">
      <c r="A173" s="12">
        <v>1</v>
      </c>
      <c r="B173" s="13" t="s">
        <v>9</v>
      </c>
      <c r="C173" s="17">
        <v>0</v>
      </c>
      <c r="D173" s="18">
        <v>0</v>
      </c>
      <c r="E173" s="18">
        <v>0</v>
      </c>
      <c r="F173" s="19">
        <v>0</v>
      </c>
      <c r="G173" s="17">
        <v>0</v>
      </c>
      <c r="H173" s="18">
        <v>0</v>
      </c>
      <c r="I173" s="20">
        <v>0</v>
      </c>
      <c r="J173" s="19">
        <v>0</v>
      </c>
      <c r="K173" s="17">
        <v>0</v>
      </c>
      <c r="L173" s="18">
        <v>0</v>
      </c>
      <c r="M173" s="18">
        <v>0</v>
      </c>
      <c r="N173" s="19">
        <v>0</v>
      </c>
      <c r="O173" s="17">
        <v>0.37272408770112053</v>
      </c>
      <c r="P173" s="18">
        <v>0.37279838641171498</v>
      </c>
      <c r="Q173" s="15"/>
      <c r="R173" s="16"/>
      <c r="S173" s="17">
        <v>5.5160551101250004E-2</v>
      </c>
      <c r="T173" s="18">
        <v>5.4505387368390459E-2</v>
      </c>
      <c r="U173" s="18"/>
      <c r="V173" s="19"/>
      <c r="W173" s="17">
        <v>0</v>
      </c>
      <c r="X173" s="18">
        <v>0</v>
      </c>
      <c r="Y173" s="20">
        <v>0</v>
      </c>
      <c r="Z173" s="19">
        <v>0</v>
      </c>
    </row>
    <row r="174" spans="1:26">
      <c r="A174" s="22">
        <v>2</v>
      </c>
      <c r="B174" s="23" t="s">
        <v>10</v>
      </c>
      <c r="C174" s="17">
        <v>12.509535793984069</v>
      </c>
      <c r="D174" s="18">
        <v>12.558566703259643</v>
      </c>
      <c r="E174" s="18">
        <v>12.509535793984069</v>
      </c>
      <c r="F174" s="19">
        <v>8.3012327874659242</v>
      </c>
      <c r="G174" s="17">
        <v>23.169181217155455</v>
      </c>
      <c r="H174" s="18">
        <v>23.17082741743306</v>
      </c>
      <c r="I174" s="18">
        <v>27.080696141092055</v>
      </c>
      <c r="J174" s="19">
        <v>26.795044156596919</v>
      </c>
      <c r="K174" s="17">
        <v>16.227913922093279</v>
      </c>
      <c r="L174" s="18">
        <v>15.252066680576442</v>
      </c>
      <c r="M174" s="18">
        <v>14.834212109416466</v>
      </c>
      <c r="N174" s="19">
        <v>14.842458061035893</v>
      </c>
      <c r="O174" s="17">
        <v>23.102173113747</v>
      </c>
      <c r="P174" s="18">
        <v>23.106474899231568</v>
      </c>
      <c r="Q174" s="15"/>
      <c r="R174" s="16"/>
      <c r="S174" s="17">
        <v>5.4975935544237693</v>
      </c>
      <c r="T174" s="18">
        <v>5.501354528754808</v>
      </c>
      <c r="U174" s="18"/>
      <c r="V174" s="19"/>
      <c r="W174" s="17">
        <v>7.5668143134424941</v>
      </c>
      <c r="X174" s="18">
        <v>7.5137935807937968</v>
      </c>
      <c r="Y174" s="18">
        <v>5.9004267425320069</v>
      </c>
      <c r="Z174" s="19">
        <v>5.9048072130850437</v>
      </c>
    </row>
    <row r="175" spans="1:26">
      <c r="A175" s="12">
        <v>3</v>
      </c>
      <c r="B175" s="24" t="s">
        <v>11</v>
      </c>
      <c r="C175" s="17">
        <v>1.2248593693186272</v>
      </c>
      <c r="D175" s="18">
        <v>1.2549239081300989</v>
      </c>
      <c r="E175" s="18">
        <v>1.2248593693186272</v>
      </c>
      <c r="F175" s="19">
        <v>1.1790230048641026</v>
      </c>
      <c r="G175" s="17">
        <v>1.611148782279483</v>
      </c>
      <c r="H175" s="18">
        <v>1.612454426758182</v>
      </c>
      <c r="I175" s="18">
        <v>1.7535548704248762</v>
      </c>
      <c r="J175" s="19">
        <v>1.6277965173848985</v>
      </c>
      <c r="K175" s="17">
        <v>2.1254178447171541</v>
      </c>
      <c r="L175" s="18">
        <v>1.9519249447805975</v>
      </c>
      <c r="M175" s="18">
        <v>2.155950316713259</v>
      </c>
      <c r="N175" s="19">
        <v>2.1869279542982465</v>
      </c>
      <c r="O175" s="17">
        <v>0</v>
      </c>
      <c r="P175" s="18">
        <v>0</v>
      </c>
      <c r="Q175" s="15"/>
      <c r="R175" s="16"/>
      <c r="S175" s="17">
        <v>0.85021206976731134</v>
      </c>
      <c r="T175" s="18">
        <v>0.87686590109424467</v>
      </c>
      <c r="U175" s="18"/>
      <c r="V175" s="19"/>
      <c r="W175" s="17">
        <v>0</v>
      </c>
      <c r="X175" s="18">
        <v>0</v>
      </c>
      <c r="Y175" s="18">
        <v>2.6048364153627319</v>
      </c>
      <c r="Z175" s="19">
        <v>2.5893706673915999</v>
      </c>
    </row>
    <row r="176" spans="1:26">
      <c r="A176" s="22">
        <v>4</v>
      </c>
      <c r="B176" s="25" t="s">
        <v>12</v>
      </c>
      <c r="C176" s="17">
        <v>16.515638702133874</v>
      </c>
      <c r="D176" s="18">
        <v>16.462535247648361</v>
      </c>
      <c r="E176" s="18">
        <v>16.515638702133874</v>
      </c>
      <c r="F176" s="19">
        <v>19.263490135802705</v>
      </c>
      <c r="G176" s="17">
        <v>7.8410182516810787</v>
      </c>
      <c r="H176" s="18">
        <v>7.8382408550289329</v>
      </c>
      <c r="I176" s="18">
        <v>6.7765809563009167</v>
      </c>
      <c r="J176" s="19">
        <v>6.8380334414774131</v>
      </c>
      <c r="K176" s="17">
        <v>30.45093119679823</v>
      </c>
      <c r="L176" s="18">
        <v>28.738551416998227</v>
      </c>
      <c r="M176" s="18">
        <v>27.956580204536603</v>
      </c>
      <c r="N176" s="19">
        <v>28.052457972603712</v>
      </c>
      <c r="O176" s="17">
        <v>52.195171342867027</v>
      </c>
      <c r="P176" s="18">
        <v>52.157236677153321</v>
      </c>
      <c r="Q176" s="15"/>
      <c r="R176" s="16"/>
      <c r="S176" s="17">
        <v>44.754424890323229</v>
      </c>
      <c r="T176" s="18">
        <v>44.773548283946802</v>
      </c>
      <c r="U176" s="18"/>
      <c r="V176" s="19"/>
      <c r="W176" s="17">
        <v>30.3309610312049</v>
      </c>
      <c r="X176" s="18">
        <v>30.323135641821743</v>
      </c>
      <c r="Y176" s="18">
        <v>24.513229018492186</v>
      </c>
      <c r="Z176" s="19">
        <v>24.533324271668704</v>
      </c>
    </row>
    <row r="177" spans="1:26">
      <c r="A177" s="12">
        <v>5</v>
      </c>
      <c r="B177" s="13" t="s">
        <v>13</v>
      </c>
      <c r="C177" s="17">
        <v>2.6600409237065179</v>
      </c>
      <c r="D177" s="18">
        <v>2.6684173895573684</v>
      </c>
      <c r="E177" s="18">
        <v>2.6600409237065179</v>
      </c>
      <c r="F177" s="19">
        <v>1.7109749078097627</v>
      </c>
      <c r="G177" s="17">
        <v>4.8786517488839927</v>
      </c>
      <c r="H177" s="18">
        <v>4.7653022638574765</v>
      </c>
      <c r="I177" s="18">
        <v>4.177312510192829</v>
      </c>
      <c r="J177" s="19">
        <v>4.1934678828179708</v>
      </c>
      <c r="K177" s="17">
        <v>0.37369151121453531</v>
      </c>
      <c r="L177" s="18">
        <v>5.9672928462994017</v>
      </c>
      <c r="M177" s="18">
        <v>5.6902225839555536</v>
      </c>
      <c r="N177" s="19">
        <v>5.6596598898134971</v>
      </c>
      <c r="O177" s="17">
        <v>3.9961732983318963</v>
      </c>
      <c r="P177" s="18">
        <v>3.9969936277724374</v>
      </c>
      <c r="Q177" s="15"/>
      <c r="R177" s="16"/>
      <c r="S177" s="17">
        <v>0.60875509163543051</v>
      </c>
      <c r="T177" s="18">
        <v>0.60903481301018458</v>
      </c>
      <c r="U177" s="18"/>
      <c r="V177" s="19"/>
      <c r="W177" s="17">
        <v>5.4008858806549549</v>
      </c>
      <c r="X177" s="18">
        <v>5.4126208792295367</v>
      </c>
      <c r="Y177" s="18">
        <v>4.3687055476529171</v>
      </c>
      <c r="Z177" s="19">
        <v>4.369987766752752</v>
      </c>
    </row>
    <row r="178" spans="1:26">
      <c r="A178" s="22">
        <v>6</v>
      </c>
      <c r="B178" s="25" t="s">
        <v>14</v>
      </c>
      <c r="C178" s="17">
        <v>8.0656775582663744</v>
      </c>
      <c r="D178" s="18">
        <v>8.0318000157852065</v>
      </c>
      <c r="E178" s="18">
        <v>8.0656775582663744</v>
      </c>
      <c r="F178" s="19">
        <v>7.7060285773923614</v>
      </c>
      <c r="G178" s="17">
        <v>8.7147539130926148</v>
      </c>
      <c r="H178" s="18">
        <v>8.7450681012278917</v>
      </c>
      <c r="I178" s="18">
        <v>8.2233802138746732</v>
      </c>
      <c r="J178" s="19">
        <v>8.1011455758873581</v>
      </c>
      <c r="K178" s="17">
        <v>4.1166705829739181</v>
      </c>
      <c r="L178" s="18">
        <v>3.9052888316509708</v>
      </c>
      <c r="M178" s="18">
        <v>4.6029583495523543</v>
      </c>
      <c r="N178" s="19">
        <v>4.6329622129270165</v>
      </c>
      <c r="O178" s="17">
        <v>2.0233849344678831</v>
      </c>
      <c r="P178" s="18">
        <v>2.0390599119898352</v>
      </c>
      <c r="Q178" s="15"/>
      <c r="R178" s="16"/>
      <c r="S178" s="17">
        <v>6.7102852436421081</v>
      </c>
      <c r="T178" s="18">
        <v>6.6624031341436298</v>
      </c>
      <c r="U178" s="18"/>
      <c r="V178" s="19"/>
      <c r="W178" s="17">
        <v>2.5501418404419449</v>
      </c>
      <c r="X178" s="18">
        <v>2.5718353867146555</v>
      </c>
      <c r="Y178" s="18">
        <v>3.3354196301564736</v>
      </c>
      <c r="Z178" s="19">
        <v>3.3278963345566579</v>
      </c>
    </row>
    <row r="179" spans="1:26">
      <c r="A179" s="12">
        <v>7</v>
      </c>
      <c r="B179" s="13" t="s">
        <v>15</v>
      </c>
      <c r="C179" s="17">
        <v>4.0153713434240439</v>
      </c>
      <c r="D179" s="18">
        <v>4.000114801501029</v>
      </c>
      <c r="E179" s="18">
        <v>4.0153713434240439</v>
      </c>
      <c r="F179" s="19">
        <v>3.1132785568353607</v>
      </c>
      <c r="G179" s="17">
        <v>6.1274509803921591</v>
      </c>
      <c r="H179" s="18">
        <v>6.136602002012002</v>
      </c>
      <c r="I179" s="18">
        <v>6.4480806417793382</v>
      </c>
      <c r="J179" s="19">
        <v>6.3590329826030247</v>
      </c>
      <c r="K179" s="17">
        <v>6.683999484563433</v>
      </c>
      <c r="L179" s="18">
        <v>6.3212726003841979</v>
      </c>
      <c r="M179" s="18">
        <v>6.1679464949219716</v>
      </c>
      <c r="N179" s="19">
        <v>6.1584174176033111</v>
      </c>
      <c r="O179" s="17">
        <v>1.0961594693990806</v>
      </c>
      <c r="P179" s="18">
        <v>1.1066377394949662</v>
      </c>
      <c r="Q179" s="15"/>
      <c r="R179" s="16"/>
      <c r="S179" s="17">
        <v>0.65436269813255332</v>
      </c>
      <c r="T179" s="18">
        <v>0.64939675114349527</v>
      </c>
      <c r="U179" s="18"/>
      <c r="V179" s="19"/>
      <c r="W179" s="17">
        <v>2.9681978798586575</v>
      </c>
      <c r="X179" s="18">
        <v>2.9426305693436428</v>
      </c>
      <c r="Y179" s="18">
        <v>2.2896159317211957</v>
      </c>
      <c r="Z179" s="19">
        <v>2.2937338589098815</v>
      </c>
    </row>
    <row r="180" spans="1:26">
      <c r="A180" s="22">
        <v>8</v>
      </c>
      <c r="B180" s="25" t="s">
        <v>16</v>
      </c>
      <c r="C180" s="17">
        <v>16.72596088720314</v>
      </c>
      <c r="D180" s="18">
        <v>16.722273643727892</v>
      </c>
      <c r="E180" s="18">
        <v>16.72596088720314</v>
      </c>
      <c r="F180" s="19">
        <v>14.494898701430136</v>
      </c>
      <c r="G180" s="17">
        <v>19.472226931118275</v>
      </c>
      <c r="H180" s="18">
        <v>19.493575153932323</v>
      </c>
      <c r="I180" s="18">
        <v>18.716751962847624</v>
      </c>
      <c r="J180" s="19">
        <v>18.722880121078433</v>
      </c>
      <c r="K180" s="17">
        <v>19.837485882344026</v>
      </c>
      <c r="L180" s="18">
        <v>18.753732256045357</v>
      </c>
      <c r="M180" s="18">
        <v>18.540111115042993</v>
      </c>
      <c r="N180" s="19">
        <v>18.581370875743936</v>
      </c>
      <c r="O180" s="17">
        <v>9.6326730789506616</v>
      </c>
      <c r="P180" s="18">
        <v>9.6425832579633752</v>
      </c>
      <c r="Q180" s="15"/>
      <c r="R180" s="16"/>
      <c r="S180" s="17">
        <v>16.309902005277934</v>
      </c>
      <c r="T180" s="18">
        <v>16.307369016566287</v>
      </c>
      <c r="U180" s="18"/>
      <c r="V180" s="19"/>
      <c r="W180" s="17">
        <v>38.180460857014879</v>
      </c>
      <c r="X180" s="18">
        <v>38.230466509779099</v>
      </c>
      <c r="Y180" s="18">
        <v>39.591465149359891</v>
      </c>
      <c r="Z180" s="19">
        <v>39.567758597254318</v>
      </c>
    </row>
    <row r="181" spans="1:26">
      <c r="A181" s="12">
        <v>9</v>
      </c>
      <c r="B181" s="13" t="s">
        <v>17</v>
      </c>
      <c r="C181" s="17">
        <v>20.95521919849423</v>
      </c>
      <c r="D181" s="18">
        <v>20.951991447288172</v>
      </c>
      <c r="E181" s="18">
        <v>20.95521919849423</v>
      </c>
      <c r="F181" s="19">
        <v>30.731133418091428</v>
      </c>
      <c r="G181" s="17">
        <v>3.3324857320449803</v>
      </c>
      <c r="H181" s="18">
        <v>3.3433457715879822</v>
      </c>
      <c r="I181" s="18">
        <v>3.0077581989174247</v>
      </c>
      <c r="J181" s="19">
        <v>2.9641675455050431</v>
      </c>
      <c r="K181" s="17">
        <v>3.8945780621101065</v>
      </c>
      <c r="L181" s="18">
        <v>3.7613946226734107</v>
      </c>
      <c r="M181" s="18">
        <v>4.2490887858735258</v>
      </c>
      <c r="N181" s="19">
        <v>4.3084160911205238</v>
      </c>
      <c r="O181" s="17">
        <v>1.1474430064279149</v>
      </c>
      <c r="P181" s="18">
        <v>1.1482590053751986</v>
      </c>
      <c r="Q181" s="15"/>
      <c r="R181" s="16"/>
      <c r="S181" s="17">
        <v>12.698776886916665</v>
      </c>
      <c r="T181" s="18">
        <v>12.698944663894629</v>
      </c>
      <c r="U181" s="18"/>
      <c r="V181" s="19"/>
      <c r="W181" s="17">
        <v>3.5166475887124871</v>
      </c>
      <c r="X181" s="18">
        <v>3.5289813514742816</v>
      </c>
      <c r="Y181" s="18">
        <v>4.0125177809388344</v>
      </c>
      <c r="Z181" s="19">
        <v>4.0086538897195414</v>
      </c>
    </row>
    <row r="182" spans="1:26">
      <c r="A182" s="22">
        <v>10</v>
      </c>
      <c r="B182" s="26" t="s">
        <v>18</v>
      </c>
      <c r="C182" s="17">
        <v>0</v>
      </c>
      <c r="D182" s="18">
        <v>0</v>
      </c>
      <c r="E182" s="18">
        <v>0</v>
      </c>
      <c r="F182" s="19">
        <v>0</v>
      </c>
      <c r="G182" s="17">
        <v>0</v>
      </c>
      <c r="H182" s="18">
        <v>0</v>
      </c>
      <c r="I182" s="18">
        <v>0</v>
      </c>
      <c r="J182" s="19">
        <v>0</v>
      </c>
      <c r="K182" s="17">
        <v>0.12127919228057941</v>
      </c>
      <c r="L182" s="18">
        <v>0.10792065673316978</v>
      </c>
      <c r="M182" s="18">
        <v>0.22647652075444988</v>
      </c>
      <c r="N182" s="19">
        <v>0.2343452923125901</v>
      </c>
      <c r="O182" s="17">
        <v>0</v>
      </c>
      <c r="P182" s="18">
        <v>0</v>
      </c>
      <c r="Q182" s="15"/>
      <c r="R182" s="16"/>
      <c r="S182" s="17">
        <v>0</v>
      </c>
      <c r="T182" s="18">
        <v>0</v>
      </c>
      <c r="U182" s="18"/>
      <c r="V182" s="19"/>
      <c r="W182" s="17">
        <v>0</v>
      </c>
      <c r="X182" s="18">
        <v>0</v>
      </c>
      <c r="Y182" s="18">
        <v>0.24580369843527744</v>
      </c>
      <c r="Z182" s="19">
        <v>0.24239952879343934</v>
      </c>
    </row>
    <row r="183" spans="1:26">
      <c r="A183" s="12">
        <v>11</v>
      </c>
      <c r="B183" s="27" t="s">
        <v>19</v>
      </c>
      <c r="C183" s="17">
        <v>0</v>
      </c>
      <c r="D183" s="18">
        <v>0</v>
      </c>
      <c r="E183" s="18">
        <v>0</v>
      </c>
      <c r="F183" s="19">
        <v>0</v>
      </c>
      <c r="G183" s="17">
        <v>0.14833022546194272</v>
      </c>
      <c r="H183" s="18">
        <v>0.14768940988448834</v>
      </c>
      <c r="I183" s="18">
        <v>0</v>
      </c>
      <c r="J183" s="19">
        <v>0</v>
      </c>
      <c r="K183" s="17">
        <v>0</v>
      </c>
      <c r="L183" s="18">
        <v>0</v>
      </c>
      <c r="M183" s="18">
        <v>0</v>
      </c>
      <c r="N183" s="19">
        <v>0</v>
      </c>
      <c r="O183" s="17">
        <v>0.79792643664840424</v>
      </c>
      <c r="P183" s="18">
        <v>0.79921060683864464</v>
      </c>
      <c r="Q183" s="15"/>
      <c r="R183" s="16"/>
      <c r="S183" s="17">
        <v>0.16147557976008381</v>
      </c>
      <c r="T183" s="18">
        <v>0.16150365549464618</v>
      </c>
      <c r="U183" s="18"/>
      <c r="V183" s="19"/>
      <c r="W183" s="17">
        <v>0</v>
      </c>
      <c r="X183" s="18">
        <v>0</v>
      </c>
      <c r="Y183" s="18">
        <v>0</v>
      </c>
      <c r="Z183" s="19">
        <v>0</v>
      </c>
    </row>
    <row r="184" spans="1:26">
      <c r="A184" s="22">
        <v>12</v>
      </c>
      <c r="B184" s="25" t="s">
        <v>20</v>
      </c>
      <c r="C184" s="17">
        <v>3.7394571548755531</v>
      </c>
      <c r="D184" s="18">
        <v>3.7719468182046474</v>
      </c>
      <c r="E184" s="18">
        <v>3.7394571548755531</v>
      </c>
      <c r="F184" s="19">
        <v>4.3688368533242254</v>
      </c>
      <c r="G184" s="17">
        <v>1.6026727693959433</v>
      </c>
      <c r="H184" s="18">
        <v>1.5889097382258719</v>
      </c>
      <c r="I184" s="18">
        <v>1.314001258086311</v>
      </c>
      <c r="J184" s="19">
        <v>1.3403962420602653</v>
      </c>
      <c r="K184" s="17">
        <v>7.5026340324573431</v>
      </c>
      <c r="L184" s="18">
        <v>7.0745587843817237</v>
      </c>
      <c r="M184" s="18">
        <v>6.8721469266428388</v>
      </c>
      <c r="N184" s="19">
        <v>6.8729494786922656</v>
      </c>
      <c r="O184" s="17">
        <v>1.874492428883294</v>
      </c>
      <c r="P184" s="18">
        <v>1.876631158279267</v>
      </c>
      <c r="Q184" s="15"/>
      <c r="R184" s="16"/>
      <c r="S184" s="17">
        <v>7.2361174143736786</v>
      </c>
      <c r="T184" s="18">
        <v>7.2383713454836576</v>
      </c>
      <c r="U184" s="18"/>
      <c r="V184" s="19"/>
      <c r="W184" s="17">
        <v>9.4858906086696866</v>
      </c>
      <c r="X184" s="18">
        <v>9.4765360808432355</v>
      </c>
      <c r="Y184" s="18">
        <v>9.2972972972973</v>
      </c>
      <c r="Z184" s="19">
        <v>9.3097276969779337</v>
      </c>
    </row>
    <row r="185" spans="1:26">
      <c r="A185" s="12">
        <v>13</v>
      </c>
      <c r="B185" s="13" t="s">
        <v>21</v>
      </c>
      <c r="C185" s="17">
        <v>0.48338454737952813</v>
      </c>
      <c r="D185" s="18">
        <v>0.50010403886030808</v>
      </c>
      <c r="E185" s="18">
        <v>0.48338454737952813</v>
      </c>
      <c r="F185" s="19">
        <v>0.55092759508403077</v>
      </c>
      <c r="G185" s="17">
        <v>0.24721704243657125</v>
      </c>
      <c r="H185" s="18">
        <v>0.26113200008561704</v>
      </c>
      <c r="I185" s="18">
        <v>0.31063859529227211</v>
      </c>
      <c r="J185" s="19">
        <v>0.23104728016294063</v>
      </c>
      <c r="K185" s="17">
        <v>0.56622222895995511</v>
      </c>
      <c r="L185" s="18">
        <v>0.5691015965062487</v>
      </c>
      <c r="M185" s="18">
        <v>0.89528999610743476</v>
      </c>
      <c r="N185" s="19">
        <v>0.90023965122345928</v>
      </c>
      <c r="O185" s="17">
        <v>2.6403405202964227E-2</v>
      </c>
      <c r="P185" s="18">
        <v>2.9099613856942191E-2</v>
      </c>
      <c r="Q185" s="15"/>
      <c r="R185" s="16"/>
      <c r="S185" s="17">
        <v>0.19814656065979749</v>
      </c>
      <c r="T185" s="18">
        <v>0.19389942162796137</v>
      </c>
      <c r="U185" s="18"/>
      <c r="V185" s="19"/>
      <c r="W185" s="17">
        <v>0</v>
      </c>
      <c r="X185" s="18">
        <v>0</v>
      </c>
      <c r="Y185" s="18">
        <v>0.57240398293029893</v>
      </c>
      <c r="Z185" s="19">
        <v>0.57768112002174798</v>
      </c>
    </row>
    <row r="186" spans="1:26">
      <c r="A186" s="22">
        <v>14</v>
      </c>
      <c r="B186" s="25" t="s">
        <v>22</v>
      </c>
      <c r="C186" s="17">
        <v>3.9134185554074183</v>
      </c>
      <c r="D186" s="18">
        <v>3.8810082441827922</v>
      </c>
      <c r="E186" s="18">
        <v>3.9134185554074183</v>
      </c>
      <c r="F186" s="19">
        <v>2.676837637652834</v>
      </c>
      <c r="G186" s="17">
        <v>5.8244335198056181</v>
      </c>
      <c r="H186" s="18">
        <v>5.8433636084732337</v>
      </c>
      <c r="I186" s="18">
        <v>5.8306864336359476</v>
      </c>
      <c r="J186" s="19">
        <v>6.1650176706891973</v>
      </c>
      <c r="K186" s="17">
        <v>3.7952807234303818</v>
      </c>
      <c r="L186" s="18">
        <v>3.577210035182135</v>
      </c>
      <c r="M186" s="18">
        <v>3.706783679535723</v>
      </c>
      <c r="N186" s="19">
        <v>3.6929280781033067</v>
      </c>
      <c r="O186" s="17">
        <v>1.4929273819739413</v>
      </c>
      <c r="P186" s="18">
        <v>1.4592427575029245</v>
      </c>
      <c r="Q186" s="15"/>
      <c r="R186" s="16"/>
      <c r="S186" s="17">
        <v>1.0487788479316893</v>
      </c>
      <c r="T186" s="18">
        <v>1.0491308766590604</v>
      </c>
      <c r="U186" s="18"/>
      <c r="V186" s="19"/>
      <c r="W186" s="17">
        <v>0</v>
      </c>
      <c r="X186" s="18">
        <v>0</v>
      </c>
      <c r="Y186" s="18">
        <v>1.6421052631578954</v>
      </c>
      <c r="Z186" s="19">
        <v>1.6492229622581667</v>
      </c>
    </row>
    <row r="187" spans="1:26">
      <c r="A187" s="12">
        <v>15</v>
      </c>
      <c r="B187" s="13" t="s">
        <v>23</v>
      </c>
      <c r="C187" s="17">
        <v>1.2490998923435592</v>
      </c>
      <c r="D187" s="18">
        <v>1.2527713799857934</v>
      </c>
      <c r="E187" s="18">
        <v>1.2490998923435592</v>
      </c>
      <c r="F187" s="19">
        <v>1.0348077446124848</v>
      </c>
      <c r="G187" s="17">
        <v>1.8845001977736346</v>
      </c>
      <c r="H187" s="18">
        <v>1.8857155088149886</v>
      </c>
      <c r="I187" s="18">
        <v>1.7776293615600272</v>
      </c>
      <c r="J187" s="19">
        <v>1.7960504600819531</v>
      </c>
      <c r="K187" s="17">
        <v>1.2772214937048521</v>
      </c>
      <c r="L187" s="18">
        <v>1.2015166449626236</v>
      </c>
      <c r="M187" s="18">
        <v>1.2429668424218832</v>
      </c>
      <c r="N187" s="19">
        <v>1.1690734959896005</v>
      </c>
      <c r="O187" s="17">
        <v>0.74965957826832486</v>
      </c>
      <c r="P187" s="18">
        <v>0.76558438638173365</v>
      </c>
      <c r="Q187" s="15"/>
      <c r="R187" s="16"/>
      <c r="S187" s="17">
        <v>0.60135926355481595</v>
      </c>
      <c r="T187" s="18">
        <v>0.60632351938211593</v>
      </c>
      <c r="U187" s="18"/>
      <c r="V187" s="19"/>
      <c r="W187" s="17">
        <v>0</v>
      </c>
      <c r="X187" s="18">
        <v>0</v>
      </c>
      <c r="Y187" s="18">
        <v>0.49046941678520639</v>
      </c>
      <c r="Z187" s="19">
        <v>0.4825336414299306</v>
      </c>
    </row>
    <row r="188" spans="1:26">
      <c r="A188" s="22">
        <v>16</v>
      </c>
      <c r="B188" s="25" t="s">
        <v>24</v>
      </c>
      <c r="C188" s="17">
        <v>5.5268392496845156</v>
      </c>
      <c r="D188" s="18">
        <v>5.5291272933393598</v>
      </c>
      <c r="E188" s="18">
        <v>5.5268392496845156</v>
      </c>
      <c r="F188" s="19">
        <v>3.4358653231876639</v>
      </c>
      <c r="G188" s="17">
        <v>10.22701587839747</v>
      </c>
      <c r="H188" s="18">
        <v>10.249787741065504</v>
      </c>
      <c r="I188" s="18">
        <v>9.9117009792881721</v>
      </c>
      <c r="J188" s="19">
        <v>9.9744801436196315</v>
      </c>
      <c r="K188" s="17">
        <v>1.6486390200641263</v>
      </c>
      <c r="L188" s="18">
        <v>1.5526185148678693</v>
      </c>
      <c r="M188" s="18">
        <v>1.5915283626455285</v>
      </c>
      <c r="N188" s="19">
        <v>1.5113060549517603</v>
      </c>
      <c r="O188" s="17">
        <v>0.97570140018691454</v>
      </c>
      <c r="P188" s="18">
        <v>0.98303786447633801</v>
      </c>
      <c r="Q188" s="15"/>
      <c r="R188" s="16"/>
      <c r="S188" s="17">
        <v>1.9431417701802449</v>
      </c>
      <c r="T188" s="18">
        <v>1.9449199301883819</v>
      </c>
      <c r="U188" s="18"/>
      <c r="V188" s="19"/>
      <c r="W188" s="17">
        <v>0</v>
      </c>
      <c r="X188" s="18">
        <v>0</v>
      </c>
      <c r="Y188" s="18">
        <v>0.6725462304409674</v>
      </c>
      <c r="Z188" s="19">
        <v>0.67509401477051323</v>
      </c>
    </row>
    <row r="189" spans="1:26" ht="16" thickBot="1">
      <c r="A189" s="12">
        <v>17</v>
      </c>
      <c r="B189" s="13" t="s">
        <v>25</v>
      </c>
      <c r="C189" s="31">
        <v>2.4154968237785268</v>
      </c>
      <c r="D189" s="32">
        <v>2.414419068529321</v>
      </c>
      <c r="E189" s="32">
        <v>2.4154968237785268</v>
      </c>
      <c r="F189" s="33">
        <v>1.4326647564469916</v>
      </c>
      <c r="G189" s="31">
        <v>4.9189128100808066</v>
      </c>
      <c r="H189" s="32">
        <v>4.9179860016124541</v>
      </c>
      <c r="I189" s="32">
        <v>4.6712278767075412</v>
      </c>
      <c r="J189" s="33">
        <v>4.8914399800349377</v>
      </c>
      <c r="K189" s="31">
        <v>1.3780348222880836</v>
      </c>
      <c r="L189" s="32">
        <v>1.2655495679576376</v>
      </c>
      <c r="M189" s="32">
        <v>1.2677377118794011</v>
      </c>
      <c r="N189" s="33">
        <v>1.1964874735808846</v>
      </c>
      <c r="O189" s="31">
        <v>0.51698703694356085</v>
      </c>
      <c r="P189" s="32">
        <v>0.51715010727175859</v>
      </c>
      <c r="Q189" s="29"/>
      <c r="R189" s="30"/>
      <c r="S189" s="31">
        <v>0.67150757231943248</v>
      </c>
      <c r="T189" s="32">
        <v>0.67242877124172784</v>
      </c>
      <c r="U189" s="32"/>
      <c r="V189" s="33"/>
      <c r="W189" s="31">
        <v>0</v>
      </c>
      <c r="X189" s="32">
        <v>0</v>
      </c>
      <c r="Y189" s="32">
        <v>0.46315789473684221</v>
      </c>
      <c r="Z189" s="33">
        <v>0.46780843640976844</v>
      </c>
    </row>
    <row r="190" spans="1:26">
      <c r="C190" s="45">
        <v>99.999999999999986</v>
      </c>
      <c r="D190" s="45">
        <v>99.999999999999986</v>
      </c>
      <c r="E190" s="45">
        <v>99.999999999999986</v>
      </c>
      <c r="F190" s="45">
        <v>99.999999999999986</v>
      </c>
      <c r="G190" s="45">
        <v>99.999999999999986</v>
      </c>
      <c r="H190" s="45">
        <v>99.999999999999986</v>
      </c>
      <c r="I190" s="45">
        <v>99.999999999999986</v>
      </c>
      <c r="J190" s="45">
        <v>99.999999999999986</v>
      </c>
      <c r="K190" s="45">
        <v>99.999999999999986</v>
      </c>
      <c r="L190" s="45">
        <v>99.999999999999986</v>
      </c>
      <c r="M190" s="45">
        <v>99.999999999999986</v>
      </c>
      <c r="N190" s="45">
        <v>99.999999999999986</v>
      </c>
      <c r="O190" s="45">
        <v>99.999999999999986</v>
      </c>
      <c r="P190" s="45">
        <v>99.999999999999986</v>
      </c>
      <c r="Q190" s="45"/>
      <c r="R190" s="45"/>
      <c r="S190" s="45">
        <v>99.999999999999986</v>
      </c>
      <c r="T190" s="45">
        <v>99.999999999999986</v>
      </c>
      <c r="U190" s="45"/>
      <c r="V190" s="45">
        <v>99.999999999999986</v>
      </c>
      <c r="W190" s="45">
        <v>99.999999999999986</v>
      </c>
      <c r="X190" s="45">
        <v>99.999999999999986</v>
      </c>
      <c r="Y190" s="45">
        <v>99.999999999999986</v>
      </c>
      <c r="Z190" s="45">
        <v>99.999999999999986</v>
      </c>
    </row>
    <row r="191" spans="1:26">
      <c r="O191" s="42"/>
      <c r="P191" s="21"/>
      <c r="Q191" s="21"/>
      <c r="R191" s="21"/>
      <c r="S191" s="21"/>
      <c r="T191" s="42"/>
      <c r="U191" s="42"/>
    </row>
    <row r="192" spans="1:26">
      <c r="O192" s="42"/>
      <c r="P192" s="42"/>
      <c r="Q192" s="42"/>
      <c r="R192" s="42"/>
      <c r="S192" s="42"/>
      <c r="T192" s="42"/>
      <c r="U192" s="42"/>
    </row>
    <row r="193" spans="15:21">
      <c r="O193" s="42"/>
      <c r="P193" s="42"/>
      <c r="Q193" s="42"/>
      <c r="R193" s="42"/>
      <c r="S193" s="42"/>
      <c r="T193" s="42"/>
      <c r="U193" s="42"/>
    </row>
    <row r="194" spans="15:21">
      <c r="O194" s="42"/>
      <c r="P194" s="42"/>
      <c r="Q194" s="42"/>
      <c r="R194" s="42"/>
      <c r="S194" s="42"/>
      <c r="T194" s="42"/>
      <c r="U194" s="42"/>
    </row>
  </sheetData>
  <mergeCells count="117">
    <mergeCell ref="C2:D2"/>
    <mergeCell ref="E2:F2"/>
    <mergeCell ref="G2:H2"/>
    <mergeCell ref="I2:J2"/>
    <mergeCell ref="K2:L2"/>
    <mergeCell ref="M2:N2"/>
    <mergeCell ref="O26:P26"/>
    <mergeCell ref="Q26:R26"/>
    <mergeCell ref="C27:F27"/>
    <mergeCell ref="G27:J27"/>
    <mergeCell ref="K27:N27"/>
    <mergeCell ref="O27:R27"/>
    <mergeCell ref="C3:F3"/>
    <mergeCell ref="G3:J3"/>
    <mergeCell ref="K3:N3"/>
    <mergeCell ref="C26:D26"/>
    <mergeCell ref="E26:F26"/>
    <mergeCell ref="G26:H26"/>
    <mergeCell ref="I26:J26"/>
    <mergeCell ref="K26:L26"/>
    <mergeCell ref="M26:N26"/>
    <mergeCell ref="O50:P50"/>
    <mergeCell ref="Q50:R50"/>
    <mergeCell ref="S50:T50"/>
    <mergeCell ref="U50:V50"/>
    <mergeCell ref="C51:F51"/>
    <mergeCell ref="G51:J51"/>
    <mergeCell ref="K51:N51"/>
    <mergeCell ref="O51:R51"/>
    <mergeCell ref="S51:V51"/>
    <mergeCell ref="C50:D50"/>
    <mergeCell ref="E50:F50"/>
    <mergeCell ref="G50:H50"/>
    <mergeCell ref="I50:J50"/>
    <mergeCell ref="K50:L50"/>
    <mergeCell ref="M50:N50"/>
    <mergeCell ref="AA74:AB74"/>
    <mergeCell ref="AC74:AD74"/>
    <mergeCell ref="C75:F75"/>
    <mergeCell ref="G75:J75"/>
    <mergeCell ref="K75:N75"/>
    <mergeCell ref="O75:R75"/>
    <mergeCell ref="S75:V75"/>
    <mergeCell ref="W75:Z75"/>
    <mergeCell ref="AA75:AD75"/>
    <mergeCell ref="O74:P74"/>
    <mergeCell ref="Q74:R74"/>
    <mergeCell ref="S74:T74"/>
    <mergeCell ref="U74:V74"/>
    <mergeCell ref="W74:X74"/>
    <mergeCell ref="Y74:Z74"/>
    <mergeCell ref="C74:D74"/>
    <mergeCell ref="E74:F74"/>
    <mergeCell ref="G74:H74"/>
    <mergeCell ref="I74:J74"/>
    <mergeCell ref="K74:L74"/>
    <mergeCell ref="M74:N74"/>
    <mergeCell ref="U98:V98"/>
    <mergeCell ref="C99:F99"/>
    <mergeCell ref="G99:J99"/>
    <mergeCell ref="O99:R99"/>
    <mergeCell ref="S99:V99"/>
    <mergeCell ref="C98:D98"/>
    <mergeCell ref="E98:F98"/>
    <mergeCell ref="G98:H98"/>
    <mergeCell ref="I98:J98"/>
    <mergeCell ref="O98:P98"/>
    <mergeCell ref="Q98:R98"/>
    <mergeCell ref="O121:P121"/>
    <mergeCell ref="Q121:R121"/>
    <mergeCell ref="C122:D122"/>
    <mergeCell ref="E122:F122"/>
    <mergeCell ref="G122:H122"/>
    <mergeCell ref="I122:J122"/>
    <mergeCell ref="K122:L122"/>
    <mergeCell ref="M122:N122"/>
    <mergeCell ref="S98:T98"/>
    <mergeCell ref="S122:T122"/>
    <mergeCell ref="U122:V122"/>
    <mergeCell ref="W122:X122"/>
    <mergeCell ref="Y122:Z122"/>
    <mergeCell ref="C123:F123"/>
    <mergeCell ref="G123:J123"/>
    <mergeCell ref="K123:N123"/>
    <mergeCell ref="O123:R123"/>
    <mergeCell ref="S123:V123"/>
    <mergeCell ref="W123:Z123"/>
    <mergeCell ref="C147:F147"/>
    <mergeCell ref="G147:J147"/>
    <mergeCell ref="K147:N147"/>
    <mergeCell ref="O147:R147"/>
    <mergeCell ref="C169:D169"/>
    <mergeCell ref="E169:F169"/>
    <mergeCell ref="G169:H169"/>
    <mergeCell ref="I169:J169"/>
    <mergeCell ref="O145:P145"/>
    <mergeCell ref="Q145:R145"/>
    <mergeCell ref="C146:D146"/>
    <mergeCell ref="E146:F146"/>
    <mergeCell ref="G146:H146"/>
    <mergeCell ref="I146:J146"/>
    <mergeCell ref="K146:L146"/>
    <mergeCell ref="M146:N146"/>
    <mergeCell ref="W170:X170"/>
    <mergeCell ref="Y170:Z170"/>
    <mergeCell ref="C171:F171"/>
    <mergeCell ref="G171:J171"/>
    <mergeCell ref="K171:N171"/>
    <mergeCell ref="O171:R171"/>
    <mergeCell ref="S171:V171"/>
    <mergeCell ref="W171:Z171"/>
    <mergeCell ref="K170:L170"/>
    <mergeCell ref="M170:N170"/>
    <mergeCell ref="O170:P170"/>
    <mergeCell ref="Q170:R170"/>
    <mergeCell ref="S170:T170"/>
    <mergeCell ref="U170:V170"/>
  </mergeCells>
  <pageMargins left="0.75" right="0.75" top="1" bottom="1" header="0.5" footer="0.5"/>
  <pageSetup paperSize="9"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Lazaric</dc:creator>
  <cp:lastModifiedBy>Aleksandar Lazaric</cp:lastModifiedBy>
  <dcterms:created xsi:type="dcterms:W3CDTF">2018-06-11T23:42:11Z</dcterms:created>
  <dcterms:modified xsi:type="dcterms:W3CDTF">2018-08-14T00:56:04Z</dcterms:modified>
</cp:coreProperties>
</file>