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4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5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6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7.xml" ContentType="application/vnd.openxmlformats-officedocument.drawing+xml"/>
  <Override PartName="/xl/charts/chart23.xml" ContentType="application/vnd.openxmlformats-officedocument.drawingml.chart+xml"/>
  <Override PartName="/xl/drawings/drawing8.xml" ContentType="application/vnd.openxmlformats-officedocument.drawing+xml"/>
  <Override PartName="/xl/charts/chart24.xml" ContentType="application/vnd.openxmlformats-officedocument.drawingml.chart+xml"/>
  <Override PartName="/xl/drawings/drawing9.xml" ContentType="application/vnd.openxmlformats-officedocument.drawing+xml"/>
  <Override PartName="/xl/charts/chart25.xml" ContentType="application/vnd.openxmlformats-officedocument.drawingml.chart+xml"/>
  <Override PartName="/xl/drawings/drawing10.xml" ContentType="application/vnd.openxmlformats-officedocument.drawing+xml"/>
  <Override PartName="/xl/charts/chart26.xml" ContentType="application/vnd.openxmlformats-officedocument.drawingml.chart+xml"/>
  <Override PartName="/xl/drawings/drawing11.xml" ContentType="application/vnd.openxmlformats-officedocument.drawing+xml"/>
  <Override PartName="/xl/charts/chart2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asuyarger/Library/Mobile Documents/com~apple~CloudDocs/Files/Data/Bioavailability/"/>
    </mc:Choice>
  </mc:AlternateContent>
  <xr:revisionPtr revIDLastSave="0" documentId="8_{CDBE2FA6-8084-6F41-B52B-A80F49415B44}" xr6:coauthVersionLast="47" xr6:coauthVersionMax="47" xr10:uidLastSave="{00000000-0000-0000-0000-000000000000}"/>
  <bookViews>
    <workbookView xWindow="15860" yWindow="500" windowWidth="66660" windowHeight="26580" xr2:uid="{00000000-000D-0000-FFFF-FFFF00000000}"/>
  </bookViews>
  <sheets>
    <sheet name="Mike+Steve_Bioavail" sheetId="1" r:id="rId1"/>
    <sheet name="CBGa_bioavaliability" sheetId="2" r:id="rId2"/>
    <sheet name="THCa_BA" sheetId="3" r:id="rId3"/>
    <sheet name="THC_BA" sheetId="4" r:id="rId4"/>
    <sheet name="200mg_CBD_PVP_5_5_FaSSIF" sheetId="5" r:id="rId5"/>
    <sheet name="100mg_CBD_FaSSIF" sheetId="6" r:id="rId6"/>
    <sheet name="70mg_CBD_PVP_1_1_USP38buffer" sheetId="7" r:id="rId7"/>
    <sheet name="100mg_CBD_USP38buffer" sheetId="8" r:id="rId8"/>
    <sheet name="CBD_100.0mg_basket_SGFdegassed_" sheetId="9" r:id="rId9"/>
    <sheet name="CBD_96.2mg_SGFdegassed_PVDFfilt" sheetId="10" r:id="rId10"/>
    <sheet name="5_5_PVP_CBD_199.8mg_basket_SGFd" sheetId="11" r:id="rId11"/>
    <sheet name="5_5_CBD_PVP_194mg_powder" sheetId="12" r:id="rId12"/>
    <sheet name="CBD_92.2mg_powder" sheetId="13" r:id="rId13"/>
    <sheet name="Buffer Notes" sheetId="14" r:id="rId14"/>
    <sheet name="Pow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15" l="1"/>
  <c r="D23" i="15" s="1"/>
  <c r="C16" i="15"/>
  <c r="B17" i="15" s="1"/>
  <c r="C17" i="15" s="1"/>
  <c r="D10" i="15"/>
  <c r="C10" i="15"/>
  <c r="C5" i="15"/>
  <c r="D5" i="15" s="1"/>
  <c r="D52" i="14"/>
  <c r="D51" i="14"/>
  <c r="D50" i="14"/>
  <c r="C42" i="14"/>
  <c r="D42" i="14" s="1"/>
  <c r="C41" i="14"/>
  <c r="D41" i="14" s="1"/>
  <c r="C40" i="14"/>
  <c r="D40" i="14" s="1"/>
  <c r="D39" i="14"/>
  <c r="D38" i="14"/>
  <c r="D31" i="14"/>
  <c r="D30" i="14"/>
  <c r="D29" i="14"/>
  <c r="D28" i="14"/>
  <c r="D27" i="14"/>
  <c r="D26" i="14"/>
  <c r="D25" i="14"/>
  <c r="D17" i="14"/>
  <c r="D16" i="14"/>
  <c r="D15" i="14"/>
  <c r="D14" i="14"/>
  <c r="D13" i="14"/>
  <c r="D12" i="14"/>
  <c r="C2" i="14"/>
  <c r="C13" i="13"/>
  <c r="D13" i="13" s="1"/>
  <c r="C12" i="13"/>
  <c r="D12" i="13" s="1"/>
  <c r="C11" i="13"/>
  <c r="D11" i="13" s="1"/>
  <c r="C10" i="13"/>
  <c r="D10" i="13" s="1"/>
  <c r="C9" i="13"/>
  <c r="D9" i="13" s="1"/>
  <c r="C8" i="13"/>
  <c r="D8" i="13" s="1"/>
  <c r="C7" i="13"/>
  <c r="D7" i="13" s="1"/>
  <c r="D6" i="13"/>
  <c r="C6" i="13"/>
  <c r="C5" i="13"/>
  <c r="D5" i="13" s="1"/>
  <c r="C4" i="13"/>
  <c r="D4" i="13" s="1"/>
  <c r="C3" i="13"/>
  <c r="D3" i="13" s="1"/>
  <c r="C2" i="13"/>
  <c r="D2" i="13" s="1"/>
  <c r="C13" i="12"/>
  <c r="D13" i="12" s="1"/>
  <c r="C12" i="12"/>
  <c r="D12" i="12" s="1"/>
  <c r="C11" i="12"/>
  <c r="D11" i="12" s="1"/>
  <c r="C10" i="12"/>
  <c r="D10" i="12" s="1"/>
  <c r="C9" i="12"/>
  <c r="D9" i="12" s="1"/>
  <c r="C8" i="12"/>
  <c r="D8" i="12" s="1"/>
  <c r="C7" i="12"/>
  <c r="D7" i="12" s="1"/>
  <c r="C6" i="12"/>
  <c r="D6" i="12" s="1"/>
  <c r="C5" i="12"/>
  <c r="D5" i="12" s="1"/>
  <c r="C4" i="12"/>
  <c r="D4" i="12" s="1"/>
  <c r="C3" i="12"/>
  <c r="D3" i="12" s="1"/>
  <c r="C2" i="12"/>
  <c r="D2" i="12" s="1"/>
  <c r="C22" i="11"/>
  <c r="C21" i="11"/>
  <c r="C20" i="11"/>
  <c r="C19" i="11"/>
  <c r="C18" i="11"/>
  <c r="C17" i="11"/>
  <c r="C16" i="11"/>
  <c r="C15" i="11"/>
  <c r="C14" i="11"/>
  <c r="C10" i="11"/>
  <c r="C9" i="11"/>
  <c r="C8" i="11"/>
  <c r="C7" i="11"/>
  <c r="C6" i="11"/>
  <c r="C5" i="11"/>
  <c r="C4" i="11"/>
  <c r="C3" i="11"/>
  <c r="C2" i="11"/>
  <c r="C10" i="10"/>
  <c r="C9" i="10"/>
  <c r="C8" i="10"/>
  <c r="C7" i="10"/>
  <c r="C6" i="10"/>
  <c r="C5" i="10"/>
  <c r="C4" i="10"/>
  <c r="C3" i="10"/>
  <c r="C2" i="10"/>
  <c r="C10" i="9"/>
  <c r="C9" i="9"/>
  <c r="C8" i="9"/>
  <c r="C7" i="9"/>
  <c r="C6" i="9"/>
  <c r="C5" i="9"/>
  <c r="C4" i="9"/>
  <c r="C3" i="9"/>
  <c r="C2" i="9"/>
  <c r="C12" i="8"/>
  <c r="C11" i="8"/>
  <c r="C10" i="8"/>
  <c r="C9" i="8"/>
  <c r="C8" i="8"/>
  <c r="C7" i="8"/>
  <c r="C6" i="8"/>
  <c r="C5" i="8"/>
  <c r="C4" i="8"/>
  <c r="C3" i="8"/>
  <c r="C2" i="8"/>
  <c r="D2" i="8" s="1"/>
  <c r="C12" i="7"/>
  <c r="C11" i="7"/>
  <c r="C10" i="7"/>
  <c r="C9" i="7"/>
  <c r="C8" i="7"/>
  <c r="C7" i="7"/>
  <c r="C6" i="7"/>
  <c r="C5" i="7"/>
  <c r="C4" i="7"/>
  <c r="C3" i="7"/>
  <c r="C2" i="7"/>
  <c r="D2" i="7" s="1"/>
  <c r="C13" i="6"/>
  <c r="D13" i="6" s="1"/>
  <c r="C11" i="6"/>
  <c r="D11" i="6" s="1"/>
  <c r="C10" i="6"/>
  <c r="D10" i="6" s="1"/>
  <c r="C9" i="6"/>
  <c r="D9" i="6" s="1"/>
  <c r="D8" i="6"/>
  <c r="C8" i="6"/>
  <c r="D7" i="6"/>
  <c r="C7" i="6"/>
  <c r="D6" i="6"/>
  <c r="C6" i="6"/>
  <c r="C5" i="6"/>
  <c r="D5" i="6" s="1"/>
  <c r="C4" i="6"/>
  <c r="D4" i="6" s="1"/>
  <c r="C3" i="6"/>
  <c r="D3" i="6" s="1"/>
  <c r="C2" i="6"/>
  <c r="D2" i="6" s="1"/>
  <c r="C22" i="5"/>
  <c r="D22" i="5" s="1"/>
  <c r="C21" i="5"/>
  <c r="D21" i="5" s="1"/>
  <c r="C20" i="5"/>
  <c r="D20" i="5" s="1"/>
  <c r="D19" i="5"/>
  <c r="C19" i="5"/>
  <c r="D18" i="5"/>
  <c r="C18" i="5"/>
  <c r="D17" i="5"/>
  <c r="C17" i="5"/>
  <c r="C16" i="5"/>
  <c r="D16" i="5" s="1"/>
  <c r="C15" i="5"/>
  <c r="D15" i="5" s="1"/>
  <c r="C14" i="5"/>
  <c r="D14" i="5" s="1"/>
  <c r="C13" i="5"/>
  <c r="D13" i="5" s="1"/>
  <c r="C12" i="5"/>
  <c r="D12" i="5" s="1"/>
  <c r="C11" i="5"/>
  <c r="D11" i="5" s="1"/>
  <c r="C10" i="5"/>
  <c r="D10" i="5" s="1"/>
  <c r="D9" i="5"/>
  <c r="C9" i="5"/>
  <c r="D8" i="5"/>
  <c r="C8" i="5"/>
  <c r="D7" i="5"/>
  <c r="C7" i="5"/>
  <c r="C6" i="5"/>
  <c r="D6" i="5" s="1"/>
  <c r="C5" i="5"/>
  <c r="D5" i="5" s="1"/>
  <c r="C4" i="5"/>
  <c r="D4" i="5" s="1"/>
  <c r="C3" i="5"/>
  <c r="D3" i="5" s="1"/>
  <c r="C2" i="5"/>
  <c r="D2" i="5" s="1"/>
  <c r="I131" i="4"/>
  <c r="J131" i="4" s="1"/>
  <c r="H131" i="4"/>
  <c r="I130" i="4"/>
  <c r="J130" i="4" s="1"/>
  <c r="H130" i="4"/>
  <c r="I129" i="4"/>
  <c r="J129" i="4" s="1"/>
  <c r="H129" i="4"/>
  <c r="I128" i="4"/>
  <c r="J128" i="4" s="1"/>
  <c r="H128" i="4"/>
  <c r="I127" i="4"/>
  <c r="J127" i="4" s="1"/>
  <c r="H127" i="4"/>
  <c r="I126" i="4"/>
  <c r="J126" i="4" s="1"/>
  <c r="H126" i="4"/>
  <c r="I125" i="4"/>
  <c r="J125" i="4" s="1"/>
  <c r="H125" i="4"/>
  <c r="I124" i="4"/>
  <c r="J124" i="4" s="1"/>
  <c r="H124" i="4"/>
  <c r="J123" i="4"/>
  <c r="I123" i="4"/>
  <c r="H123" i="4"/>
  <c r="J122" i="4"/>
  <c r="I122" i="4"/>
  <c r="H122" i="4"/>
  <c r="I121" i="4"/>
  <c r="J121" i="4" s="1"/>
  <c r="H121" i="4"/>
  <c r="J120" i="4"/>
  <c r="I120" i="4"/>
  <c r="H120" i="4"/>
  <c r="J119" i="4"/>
  <c r="I119" i="4"/>
  <c r="H119" i="4"/>
  <c r="J118" i="4"/>
  <c r="I118" i="4"/>
  <c r="H118" i="4"/>
  <c r="I117" i="4"/>
  <c r="J117" i="4" s="1"/>
  <c r="H117" i="4"/>
  <c r="I116" i="4"/>
  <c r="H116" i="4"/>
  <c r="J116" i="4" s="1"/>
  <c r="I115" i="4"/>
  <c r="J115" i="4" s="1"/>
  <c r="H115" i="4"/>
  <c r="I114" i="4"/>
  <c r="H114" i="4"/>
  <c r="J114" i="4" s="1"/>
  <c r="I113" i="4"/>
  <c r="J113" i="4" s="1"/>
  <c r="H113" i="4"/>
  <c r="I112" i="4"/>
  <c r="H112" i="4"/>
  <c r="J112" i="4" s="1"/>
  <c r="I111" i="4"/>
  <c r="J111" i="4" s="1"/>
  <c r="H111" i="4"/>
  <c r="I110" i="4"/>
  <c r="J110" i="4" s="1"/>
  <c r="H110" i="4"/>
  <c r="I109" i="4"/>
  <c r="J109" i="4" s="1"/>
  <c r="H109" i="4"/>
  <c r="F86" i="4"/>
  <c r="I69" i="4"/>
  <c r="H69" i="4"/>
  <c r="K69" i="4" s="1"/>
  <c r="I68" i="4"/>
  <c r="J68" i="4" s="1"/>
  <c r="H68" i="4"/>
  <c r="I67" i="4"/>
  <c r="J67" i="4" s="1"/>
  <c r="H67" i="4"/>
  <c r="I66" i="4"/>
  <c r="J66" i="4" s="1"/>
  <c r="H66" i="4"/>
  <c r="I65" i="4"/>
  <c r="J65" i="4" s="1"/>
  <c r="H65" i="4"/>
  <c r="I64" i="4"/>
  <c r="J64" i="4" s="1"/>
  <c r="H64" i="4"/>
  <c r="I63" i="4"/>
  <c r="H63" i="4"/>
  <c r="J63" i="4" s="1"/>
  <c r="I62" i="4"/>
  <c r="J62" i="4" s="1"/>
  <c r="H62" i="4"/>
  <c r="J61" i="4"/>
  <c r="I61" i="4"/>
  <c r="H61" i="4"/>
  <c r="I60" i="4"/>
  <c r="J60" i="4" s="1"/>
  <c r="H60" i="4"/>
  <c r="I59" i="4"/>
  <c r="J59" i="4" s="1"/>
  <c r="H59" i="4"/>
  <c r="J58" i="4"/>
  <c r="I58" i="4"/>
  <c r="H58" i="4"/>
  <c r="I57" i="4"/>
  <c r="H57" i="4"/>
  <c r="J57" i="4" s="1"/>
  <c r="I56" i="4"/>
  <c r="J56" i="4" s="1"/>
  <c r="H56" i="4"/>
  <c r="J55" i="4"/>
  <c r="I55" i="4"/>
  <c r="H55" i="4"/>
  <c r="J54" i="4"/>
  <c r="I54" i="4"/>
  <c r="H54" i="4"/>
  <c r="J53" i="4"/>
  <c r="I53" i="4"/>
  <c r="H53" i="4"/>
  <c r="I52" i="4"/>
  <c r="J52" i="4" s="1"/>
  <c r="H52" i="4"/>
  <c r="I51" i="4"/>
  <c r="H51" i="4"/>
  <c r="J51" i="4" s="1"/>
  <c r="M50" i="4"/>
  <c r="I50" i="4"/>
  <c r="H50" i="4"/>
  <c r="J50" i="4" s="1"/>
  <c r="I49" i="4"/>
  <c r="J49" i="4" s="1"/>
  <c r="H49" i="4"/>
  <c r="J48" i="4"/>
  <c r="I48" i="4"/>
  <c r="H48" i="4"/>
  <c r="I47" i="4"/>
  <c r="J47" i="4" s="1"/>
  <c r="H47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O27" i="4"/>
  <c r="M27" i="4"/>
  <c r="D27" i="4"/>
  <c r="D26" i="4"/>
  <c r="D25" i="4"/>
  <c r="D24" i="4"/>
  <c r="D23" i="4"/>
  <c r="D22" i="4"/>
  <c r="D21" i="4"/>
  <c r="D20" i="4"/>
  <c r="D19" i="4"/>
  <c r="S11" i="4"/>
  <c r="O11" i="4"/>
  <c r="J11" i="4"/>
  <c r="K7" i="4" s="1"/>
  <c r="T8" i="4"/>
  <c r="P8" i="4"/>
  <c r="K8" i="4"/>
  <c r="D8" i="4"/>
  <c r="C8" i="4"/>
  <c r="T7" i="4"/>
  <c r="P7" i="4"/>
  <c r="C7" i="4"/>
  <c r="D7" i="4" s="1"/>
  <c r="F8" i="4" s="1"/>
  <c r="K6" i="4"/>
  <c r="C6" i="4"/>
  <c r="D6" i="4" s="1"/>
  <c r="K5" i="4"/>
  <c r="D5" i="4"/>
  <c r="F5" i="4" s="1"/>
  <c r="T4" i="4"/>
  <c r="P4" i="4"/>
  <c r="K4" i="4"/>
  <c r="F4" i="4"/>
  <c r="D4" i="4"/>
  <c r="J168" i="3"/>
  <c r="I168" i="3"/>
  <c r="H168" i="3"/>
  <c r="I167" i="3"/>
  <c r="J167" i="3" s="1"/>
  <c r="H167" i="3"/>
  <c r="J166" i="3"/>
  <c r="I166" i="3"/>
  <c r="H166" i="3"/>
  <c r="J165" i="3"/>
  <c r="I165" i="3"/>
  <c r="H165" i="3"/>
  <c r="I164" i="3"/>
  <c r="H164" i="3"/>
  <c r="J164" i="3" s="1"/>
  <c r="I163" i="3"/>
  <c r="H163" i="3"/>
  <c r="J163" i="3" s="1"/>
  <c r="I162" i="3"/>
  <c r="J162" i="3" s="1"/>
  <c r="H162" i="3"/>
  <c r="I161" i="3"/>
  <c r="H161" i="3"/>
  <c r="J161" i="3" s="1"/>
  <c r="J160" i="3"/>
  <c r="I160" i="3"/>
  <c r="H160" i="3"/>
  <c r="I159" i="3"/>
  <c r="J159" i="3" s="1"/>
  <c r="H159" i="3"/>
  <c r="I158" i="3"/>
  <c r="H158" i="3"/>
  <c r="J158" i="3" s="1"/>
  <c r="I157" i="3"/>
  <c r="J157" i="3" s="1"/>
  <c r="H157" i="3"/>
  <c r="I156" i="3"/>
  <c r="J156" i="3" s="1"/>
  <c r="H156" i="3"/>
  <c r="J155" i="3"/>
  <c r="I155" i="3"/>
  <c r="H155" i="3"/>
  <c r="I154" i="3"/>
  <c r="J154" i="3" s="1"/>
  <c r="H154" i="3"/>
  <c r="I153" i="3"/>
  <c r="J153" i="3" s="1"/>
  <c r="H153" i="3"/>
  <c r="I152" i="3"/>
  <c r="J152" i="3" s="1"/>
  <c r="H152" i="3"/>
  <c r="I151" i="3"/>
  <c r="J151" i="3" s="1"/>
  <c r="H151" i="3"/>
  <c r="I150" i="3"/>
  <c r="J150" i="3" s="1"/>
  <c r="H150" i="3"/>
  <c r="I149" i="3"/>
  <c r="J149" i="3" s="1"/>
  <c r="H149" i="3"/>
  <c r="J148" i="3"/>
  <c r="I148" i="3"/>
  <c r="H148" i="3"/>
  <c r="J147" i="3"/>
  <c r="I147" i="3"/>
  <c r="H147" i="3"/>
  <c r="J146" i="3"/>
  <c r="I146" i="3"/>
  <c r="H146" i="3"/>
  <c r="J135" i="3"/>
  <c r="I135" i="3"/>
  <c r="H135" i="3"/>
  <c r="J134" i="3"/>
  <c r="I134" i="3"/>
  <c r="H134" i="3"/>
  <c r="I133" i="3"/>
  <c r="J133" i="3" s="1"/>
  <c r="H133" i="3"/>
  <c r="I132" i="3"/>
  <c r="J132" i="3" s="1"/>
  <c r="H132" i="3"/>
  <c r="I131" i="3"/>
  <c r="H131" i="3"/>
  <c r="J131" i="3" s="1"/>
  <c r="J130" i="3"/>
  <c r="I130" i="3"/>
  <c r="H130" i="3"/>
  <c r="I129" i="3"/>
  <c r="J129" i="3" s="1"/>
  <c r="H129" i="3"/>
  <c r="I128" i="3"/>
  <c r="H128" i="3"/>
  <c r="J128" i="3" s="1"/>
  <c r="I127" i="3"/>
  <c r="J127" i="3" s="1"/>
  <c r="H127" i="3"/>
  <c r="I126" i="3"/>
  <c r="J126" i="3" s="1"/>
  <c r="H126" i="3"/>
  <c r="J125" i="3"/>
  <c r="I125" i="3"/>
  <c r="H125" i="3"/>
  <c r="I124" i="3"/>
  <c r="J124" i="3" s="1"/>
  <c r="H124" i="3"/>
  <c r="I123" i="3"/>
  <c r="J123" i="3" s="1"/>
  <c r="H123" i="3"/>
  <c r="I122" i="3"/>
  <c r="J122" i="3" s="1"/>
  <c r="H122" i="3"/>
  <c r="I121" i="3"/>
  <c r="J121" i="3" s="1"/>
  <c r="H121" i="3"/>
  <c r="I120" i="3"/>
  <c r="J120" i="3" s="1"/>
  <c r="H120" i="3"/>
  <c r="I119" i="3"/>
  <c r="J119" i="3" s="1"/>
  <c r="H119" i="3"/>
  <c r="J118" i="3"/>
  <c r="I118" i="3"/>
  <c r="H118" i="3"/>
  <c r="I117" i="3"/>
  <c r="J117" i="3" s="1"/>
  <c r="H117" i="3"/>
  <c r="J116" i="3"/>
  <c r="I116" i="3"/>
  <c r="H116" i="3"/>
  <c r="J115" i="3"/>
  <c r="I115" i="3"/>
  <c r="H115" i="3"/>
  <c r="J114" i="3"/>
  <c r="I114" i="3"/>
  <c r="H114" i="3"/>
  <c r="I113" i="3"/>
  <c r="J113" i="3" s="1"/>
  <c r="H113" i="3"/>
  <c r="I106" i="3"/>
  <c r="J106" i="3" s="1"/>
  <c r="H106" i="3"/>
  <c r="I105" i="3"/>
  <c r="H105" i="3"/>
  <c r="J105" i="3" s="1"/>
  <c r="J104" i="3"/>
  <c r="I104" i="3"/>
  <c r="H104" i="3"/>
  <c r="I103" i="3"/>
  <c r="J103" i="3" s="1"/>
  <c r="H103" i="3"/>
  <c r="I102" i="3"/>
  <c r="H102" i="3"/>
  <c r="J102" i="3" s="1"/>
  <c r="I101" i="3"/>
  <c r="J101" i="3" s="1"/>
  <c r="H101" i="3"/>
  <c r="I100" i="3"/>
  <c r="J100" i="3" s="1"/>
  <c r="H100" i="3"/>
  <c r="J99" i="3"/>
  <c r="I99" i="3"/>
  <c r="H99" i="3"/>
  <c r="I98" i="3"/>
  <c r="J98" i="3" s="1"/>
  <c r="H98" i="3"/>
  <c r="I97" i="3"/>
  <c r="J97" i="3" s="1"/>
  <c r="H97" i="3"/>
  <c r="I96" i="3"/>
  <c r="J96" i="3" s="1"/>
  <c r="H96" i="3"/>
  <c r="I95" i="3"/>
  <c r="J95" i="3" s="1"/>
  <c r="H95" i="3"/>
  <c r="I94" i="3"/>
  <c r="J94" i="3" s="1"/>
  <c r="H94" i="3"/>
  <c r="I93" i="3"/>
  <c r="J93" i="3" s="1"/>
  <c r="H93" i="3"/>
  <c r="J92" i="3"/>
  <c r="I92" i="3"/>
  <c r="H92" i="3"/>
  <c r="I91" i="3"/>
  <c r="J91" i="3" s="1"/>
  <c r="H91" i="3"/>
  <c r="J90" i="3"/>
  <c r="I90" i="3"/>
  <c r="H90" i="3"/>
  <c r="J89" i="3"/>
  <c r="I89" i="3"/>
  <c r="H89" i="3"/>
  <c r="J88" i="3"/>
  <c r="I88" i="3"/>
  <c r="H88" i="3"/>
  <c r="I87" i="3"/>
  <c r="J87" i="3" s="1"/>
  <c r="H87" i="3"/>
  <c r="I86" i="3"/>
  <c r="J86" i="3" s="1"/>
  <c r="H86" i="3"/>
  <c r="I85" i="3"/>
  <c r="H85" i="3"/>
  <c r="J85" i="3" s="1"/>
  <c r="J84" i="3"/>
  <c r="I84" i="3"/>
  <c r="H84" i="3"/>
  <c r="AM24" i="3"/>
  <c r="AN20" i="3"/>
  <c r="AM11" i="3"/>
  <c r="AI11" i="3"/>
  <c r="AE11" i="3"/>
  <c r="Z11" i="3"/>
  <c r="AN8" i="3" s="1"/>
  <c r="U11" i="3"/>
  <c r="V7" i="3" s="1"/>
  <c r="P11" i="3"/>
  <c r="Q8" i="3" s="1"/>
  <c r="J11" i="3"/>
  <c r="K8" i="3" s="1"/>
  <c r="V8" i="3"/>
  <c r="C8" i="3"/>
  <c r="D8" i="3" s="1"/>
  <c r="F7" i="3"/>
  <c r="F8" i="3" s="1"/>
  <c r="C7" i="3"/>
  <c r="D7" i="3" s="1"/>
  <c r="P6" i="3"/>
  <c r="J6" i="3"/>
  <c r="U6" i="3" s="1"/>
  <c r="V6" i="3" s="1"/>
  <c r="D6" i="3"/>
  <c r="C6" i="3"/>
  <c r="D5" i="3"/>
  <c r="V4" i="3"/>
  <c r="D4" i="3"/>
  <c r="C63" i="2"/>
  <c r="D63" i="2" s="1"/>
  <c r="D62" i="2"/>
  <c r="C62" i="2"/>
  <c r="C61" i="2"/>
  <c r="C60" i="2"/>
  <c r="D60" i="2" s="1"/>
  <c r="C59" i="2"/>
  <c r="D59" i="2" s="1"/>
  <c r="C58" i="2"/>
  <c r="D58" i="2" s="1"/>
  <c r="D57" i="2"/>
  <c r="C57" i="2"/>
  <c r="C56" i="2"/>
  <c r="D56" i="2" s="1"/>
  <c r="C55" i="2"/>
  <c r="D55" i="2" s="1"/>
  <c r="C54" i="2"/>
  <c r="D54" i="2" s="1"/>
  <c r="C53" i="2"/>
  <c r="D53" i="2" s="1"/>
  <c r="D52" i="2"/>
  <c r="C52" i="2"/>
  <c r="D51" i="2"/>
  <c r="C51" i="2"/>
  <c r="C50" i="2"/>
  <c r="D50" i="2" s="1"/>
  <c r="C49" i="2"/>
  <c r="D49" i="2" s="1"/>
  <c r="C48" i="2"/>
  <c r="D48" i="2" s="1"/>
  <c r="C47" i="2"/>
  <c r="C46" i="2"/>
  <c r="D46" i="2" s="1"/>
  <c r="C45" i="2"/>
  <c r="D45" i="2" s="1"/>
  <c r="M44" i="2"/>
  <c r="D44" i="2"/>
  <c r="C44" i="2"/>
  <c r="D43" i="2"/>
  <c r="C43" i="2"/>
  <c r="C42" i="2"/>
  <c r="D42" i="2" s="1"/>
  <c r="C41" i="2"/>
  <c r="D41" i="2" s="1"/>
  <c r="L40" i="2"/>
  <c r="C32" i="2"/>
  <c r="C31" i="2"/>
  <c r="C30" i="2"/>
  <c r="D61" i="2" s="1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D47" i="2" s="1"/>
  <c r="C15" i="2"/>
  <c r="C14" i="2"/>
  <c r="C13" i="2"/>
  <c r="C12" i="2"/>
  <c r="C11" i="2"/>
  <c r="C10" i="2"/>
  <c r="L9" i="2"/>
  <c r="D266" i="1"/>
  <c r="C266" i="1"/>
  <c r="C265" i="1"/>
  <c r="D265" i="1" s="1"/>
  <c r="C264" i="1"/>
  <c r="D264" i="1" s="1"/>
  <c r="C263" i="1"/>
  <c r="D263" i="1" s="1"/>
  <c r="D262" i="1"/>
  <c r="C262" i="1"/>
  <c r="D261" i="1"/>
  <c r="C261" i="1"/>
  <c r="C260" i="1"/>
  <c r="C259" i="1"/>
  <c r="D259" i="1" s="1"/>
  <c r="C258" i="1"/>
  <c r="D258" i="1" s="1"/>
  <c r="D257" i="1"/>
  <c r="C257" i="1"/>
  <c r="C256" i="1"/>
  <c r="C255" i="1"/>
  <c r="D255" i="1" s="1"/>
  <c r="C254" i="1"/>
  <c r="D254" i="1" s="1"/>
  <c r="C253" i="1"/>
  <c r="D253" i="1" s="1"/>
  <c r="C252" i="1"/>
  <c r="D252" i="1" s="1"/>
  <c r="D251" i="1"/>
  <c r="C251" i="1"/>
  <c r="D250" i="1"/>
  <c r="C250" i="1"/>
  <c r="C249" i="1"/>
  <c r="D249" i="1" s="1"/>
  <c r="C248" i="1"/>
  <c r="D248" i="1" s="1"/>
  <c r="C247" i="1"/>
  <c r="D247" i="1" s="1"/>
  <c r="D246" i="1"/>
  <c r="C246" i="1"/>
  <c r="C245" i="1"/>
  <c r="D245" i="1" s="1"/>
  <c r="C244" i="1"/>
  <c r="D244" i="1" s="1"/>
  <c r="L242" i="1"/>
  <c r="C232" i="1"/>
  <c r="D232" i="1" s="1"/>
  <c r="C231" i="1"/>
  <c r="D231" i="1" s="1"/>
  <c r="D230" i="1"/>
  <c r="C230" i="1"/>
  <c r="C229" i="1"/>
  <c r="D229" i="1" s="1"/>
  <c r="C228" i="1"/>
  <c r="D228" i="1" s="1"/>
  <c r="C227" i="1"/>
  <c r="D227" i="1" s="1"/>
  <c r="D226" i="1"/>
  <c r="C226" i="1"/>
  <c r="C225" i="1"/>
  <c r="C224" i="1"/>
  <c r="D224" i="1" s="1"/>
  <c r="C223" i="1"/>
  <c r="C222" i="1"/>
  <c r="D222" i="1" s="1"/>
  <c r="C221" i="1"/>
  <c r="D221" i="1" s="1"/>
  <c r="D220" i="1"/>
  <c r="C220" i="1"/>
  <c r="C219" i="1"/>
  <c r="D219" i="1" s="1"/>
  <c r="C218" i="1"/>
  <c r="D218" i="1" s="1"/>
  <c r="C217" i="1"/>
  <c r="D217" i="1" s="1"/>
  <c r="D216" i="1"/>
  <c r="C216" i="1"/>
  <c r="C215" i="1"/>
  <c r="C214" i="1"/>
  <c r="D214" i="1" s="1"/>
  <c r="D213" i="1"/>
  <c r="C213" i="1"/>
  <c r="C212" i="1"/>
  <c r="D212" i="1" s="1"/>
  <c r="C211" i="1"/>
  <c r="D211" i="1" s="1"/>
  <c r="D210" i="1"/>
  <c r="C210" i="1"/>
  <c r="L208" i="1"/>
  <c r="C199" i="1"/>
  <c r="D199" i="1" s="1"/>
  <c r="C198" i="1"/>
  <c r="D198" i="1" s="1"/>
  <c r="C197" i="1"/>
  <c r="D197" i="1" s="1"/>
  <c r="C196" i="1"/>
  <c r="C195" i="1"/>
  <c r="D195" i="1" s="1"/>
  <c r="C194" i="1"/>
  <c r="D194" i="1" s="1"/>
  <c r="C193" i="1"/>
  <c r="D193" i="1" s="1"/>
  <c r="C192" i="1"/>
  <c r="D192" i="1" s="1"/>
  <c r="D191" i="1"/>
  <c r="C191" i="1"/>
  <c r="C190" i="1"/>
  <c r="C189" i="1"/>
  <c r="D189" i="1" s="1"/>
  <c r="C188" i="1"/>
  <c r="D188" i="1" s="1"/>
  <c r="C187" i="1"/>
  <c r="D187" i="1" s="1"/>
  <c r="C186" i="1"/>
  <c r="C185" i="1"/>
  <c r="D185" i="1" s="1"/>
  <c r="C184" i="1"/>
  <c r="D184" i="1" s="1"/>
  <c r="C183" i="1"/>
  <c r="D183" i="1" s="1"/>
  <c r="C182" i="1"/>
  <c r="D182" i="1" s="1"/>
  <c r="D181" i="1"/>
  <c r="C181" i="1"/>
  <c r="C180" i="1"/>
  <c r="C179" i="1"/>
  <c r="D179" i="1" s="1"/>
  <c r="C178" i="1"/>
  <c r="D178" i="1" s="1"/>
  <c r="C177" i="1"/>
  <c r="D177" i="1" s="1"/>
  <c r="L175" i="1"/>
  <c r="C164" i="1"/>
  <c r="C163" i="1"/>
  <c r="C162" i="1"/>
  <c r="C161" i="1"/>
  <c r="C160" i="1"/>
  <c r="C159" i="1"/>
  <c r="C158" i="1"/>
  <c r="D260" i="1" s="1"/>
  <c r="C157" i="1"/>
  <c r="D225" i="1" s="1"/>
  <c r="C156" i="1"/>
  <c r="C155" i="1"/>
  <c r="D223" i="1" s="1"/>
  <c r="C154" i="1"/>
  <c r="D256" i="1" s="1"/>
  <c r="C153" i="1"/>
  <c r="C152" i="1"/>
  <c r="C151" i="1"/>
  <c r="C150" i="1"/>
  <c r="C149" i="1"/>
  <c r="C148" i="1"/>
  <c r="C147" i="1"/>
  <c r="D215" i="1" s="1"/>
  <c r="C146" i="1"/>
  <c r="C145" i="1"/>
  <c r="C144" i="1"/>
  <c r="C143" i="1"/>
  <c r="C142" i="1"/>
  <c r="L141" i="1"/>
  <c r="D129" i="1"/>
  <c r="C129" i="1"/>
  <c r="C128" i="1"/>
  <c r="D128" i="1" s="1"/>
  <c r="C127" i="1"/>
  <c r="D127" i="1" s="1"/>
  <c r="D126" i="1"/>
  <c r="C126" i="1"/>
  <c r="C125" i="1"/>
  <c r="D125" i="1" s="1"/>
  <c r="C124" i="1"/>
  <c r="D124" i="1" s="1"/>
  <c r="C123" i="1"/>
  <c r="D123" i="1" s="1"/>
  <c r="D122" i="1"/>
  <c r="C122" i="1"/>
  <c r="C121" i="1"/>
  <c r="C120" i="1"/>
  <c r="D120" i="1" s="1"/>
  <c r="D119" i="1"/>
  <c r="C119" i="1"/>
  <c r="C118" i="1"/>
  <c r="D118" i="1" s="1"/>
  <c r="C117" i="1"/>
  <c r="D117" i="1" s="1"/>
  <c r="D116" i="1"/>
  <c r="C116" i="1"/>
  <c r="C115" i="1"/>
  <c r="D115" i="1" s="1"/>
  <c r="C114" i="1"/>
  <c r="D114" i="1" s="1"/>
  <c r="C113" i="1"/>
  <c r="D113" i="1" s="1"/>
  <c r="D112" i="1"/>
  <c r="C112" i="1"/>
  <c r="C111" i="1"/>
  <c r="C110" i="1"/>
  <c r="D110" i="1" s="1"/>
  <c r="D109" i="1"/>
  <c r="C109" i="1"/>
  <c r="C108" i="1"/>
  <c r="D108" i="1" s="1"/>
  <c r="C107" i="1"/>
  <c r="D107" i="1" s="1"/>
  <c r="D95" i="1"/>
  <c r="C95" i="1"/>
  <c r="C94" i="1"/>
  <c r="D94" i="1" s="1"/>
  <c r="C93" i="1"/>
  <c r="D93" i="1" s="1"/>
  <c r="C92" i="1"/>
  <c r="D196" i="1" s="1"/>
  <c r="D91" i="1"/>
  <c r="C91" i="1"/>
  <c r="C90" i="1"/>
  <c r="C89" i="1"/>
  <c r="D89" i="1" s="1"/>
  <c r="C88" i="1"/>
  <c r="C87" i="1"/>
  <c r="D121" i="1" s="1"/>
  <c r="C86" i="1"/>
  <c r="D190" i="1" s="1"/>
  <c r="D85" i="1"/>
  <c r="C85" i="1"/>
  <c r="C84" i="1"/>
  <c r="D84" i="1" s="1"/>
  <c r="C83" i="1"/>
  <c r="D83" i="1" s="1"/>
  <c r="C82" i="1"/>
  <c r="D186" i="1" s="1"/>
  <c r="D81" i="1"/>
  <c r="C81" i="1"/>
  <c r="D80" i="1"/>
  <c r="C80" i="1"/>
  <c r="C79" i="1"/>
  <c r="D79" i="1" s="1"/>
  <c r="D78" i="1"/>
  <c r="C78" i="1"/>
  <c r="C77" i="1"/>
  <c r="D111" i="1" s="1"/>
  <c r="C76" i="1"/>
  <c r="D180" i="1" s="1"/>
  <c r="D75" i="1"/>
  <c r="C75" i="1"/>
  <c r="C74" i="1"/>
  <c r="D74" i="1" s="1"/>
  <c r="C73" i="1"/>
  <c r="D73" i="1" s="1"/>
  <c r="L72" i="1"/>
  <c r="C64" i="1"/>
  <c r="C63" i="1"/>
  <c r="C62" i="1"/>
  <c r="C61" i="1"/>
  <c r="C60" i="1"/>
  <c r="C59" i="1"/>
  <c r="D90" i="1" s="1"/>
  <c r="C58" i="1"/>
  <c r="C57" i="1"/>
  <c r="D88" i="1" s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L41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K5" i="3" l="1"/>
  <c r="J69" i="4"/>
  <c r="D76" i="1"/>
  <c r="D82" i="1"/>
  <c r="D92" i="1"/>
  <c r="Q5" i="3"/>
  <c r="V5" i="3"/>
  <c r="K7" i="3"/>
  <c r="AA5" i="3"/>
  <c r="Q7" i="3"/>
  <c r="AF5" i="3"/>
  <c r="AJ5" i="3"/>
  <c r="AA7" i="3"/>
  <c r="D86" i="1"/>
  <c r="AN5" i="3"/>
  <c r="AF7" i="3"/>
  <c r="AN17" i="3"/>
  <c r="AJ7" i="3"/>
  <c r="AN18" i="3"/>
  <c r="P5" i="4"/>
  <c r="AN7" i="3"/>
  <c r="AN19" i="3"/>
  <c r="T5" i="4"/>
  <c r="K6" i="3"/>
  <c r="AN21" i="3"/>
  <c r="D77" i="1"/>
  <c r="D87" i="1"/>
  <c r="K4" i="3"/>
  <c r="Q6" i="3"/>
  <c r="P6" i="4"/>
  <c r="Q4" i="3"/>
  <c r="T6" i="4"/>
  <c r="AA4" i="3"/>
  <c r="AA6" i="3"/>
  <c r="AA8" i="3"/>
  <c r="AF4" i="3"/>
  <c r="AF6" i="3"/>
  <c r="AF8" i="3"/>
  <c r="AJ4" i="3"/>
  <c r="AJ6" i="3"/>
  <c r="AJ8" i="3"/>
  <c r="AN4" i="3"/>
  <c r="AN6" i="3"/>
</calcChain>
</file>

<file path=xl/sharedStrings.xml><?xml version="1.0" encoding="utf-8"?>
<sst xmlns="http://schemas.openxmlformats.org/spreadsheetml/2006/main" count="562" uniqueCount="185">
  <si>
    <t>Notes</t>
  </si>
  <si>
    <t>Date:</t>
  </si>
  <si>
    <t>Steve and Mike</t>
  </si>
  <si>
    <t>Time (min)</t>
  </si>
  <si>
    <t>CBD Peak Area</t>
  </si>
  <si>
    <t>[CBD] (ng/ul) HPLC</t>
  </si>
  <si>
    <t>Cal Curve</t>
  </si>
  <si>
    <t>Fasted Intestines mimic V2</t>
  </si>
  <si>
    <t>100 mg of ASD in 250 mL of solution</t>
  </si>
  <si>
    <t>m</t>
  </si>
  <si>
    <t>3 mM TCa</t>
  </si>
  <si>
    <t>b</t>
  </si>
  <si>
    <t>0.2 mM lecithin</t>
  </si>
  <si>
    <t>19.1 Maleic Acid</t>
  </si>
  <si>
    <t>injected 10 uL</t>
  </si>
  <si>
    <t>34  mM NaOH</t>
  </si>
  <si>
    <t>69 mM NaCl</t>
  </si>
  <si>
    <t>pH = 6.67</t>
  </si>
  <si>
    <t>prepared fresh on 1/25/21</t>
  </si>
  <si>
    <t>Calibration from 2/1/21</t>
  </si>
  <si>
    <t>50 mg CBD Isolate in 400 mg Tablet</t>
  </si>
  <si>
    <t>max conc if all dissolved</t>
  </si>
  <si>
    <t>ug/mL</t>
  </si>
  <si>
    <t>Run1</t>
  </si>
  <si>
    <t>100 mg CBD PVP 50:50 in 400 mg Tablet</t>
  </si>
  <si>
    <t>% of CBD isolate</t>
  </si>
  <si>
    <t>250 mg CBD PVP (20:80) in 400 mg tablet</t>
  </si>
  <si>
    <t>Run #2</t>
  </si>
  <si>
    <t>397.7 mg tablet</t>
  </si>
  <si>
    <t>391.4 mg tablet</t>
  </si>
  <si>
    <t>Run #3</t>
  </si>
  <si>
    <t>406.7 mg tablet</t>
  </si>
  <si>
    <t>Calibration from 2/12/21</t>
  </si>
  <si>
    <t>50 mg CBD in 400 mg Tablet</t>
  </si>
  <si>
    <t>Light grind of large xtals</t>
  </si>
  <si>
    <t>392.8 mg tablet</t>
  </si>
  <si>
    <t>CBGa Bioavailability studies</t>
  </si>
  <si>
    <t>Calibration from 4/26</t>
  </si>
  <si>
    <t xml:space="preserve">  </t>
  </si>
  <si>
    <t>50 mg CBGa in 400 mg Tablet</t>
  </si>
  <si>
    <t>100 RPM</t>
  </si>
  <si>
    <t>CBGa Peak Area</t>
  </si>
  <si>
    <t>[CBGa] (ng/ul) HPLC</t>
  </si>
  <si>
    <t>37 C</t>
  </si>
  <si>
    <t xml:space="preserve">Paddle </t>
  </si>
  <si>
    <t xml:space="preserve">hand pressed tablet </t>
  </si>
  <si>
    <t>excipient mixture from LFA</t>
  </si>
  <si>
    <t>micro crystalline cellulose, silica, calcium phosphate</t>
  </si>
  <si>
    <t>&lt;- target mg of the cocrystal</t>
  </si>
  <si>
    <t>250 mL</t>
  </si>
  <si>
    <t>What really went in</t>
  </si>
  <si>
    <t>Goal gastric acid mimic</t>
  </si>
  <si>
    <t>Mimic 1:</t>
  </si>
  <si>
    <t>Mimic 2:</t>
  </si>
  <si>
    <t>Mimic 3:</t>
  </si>
  <si>
    <t>Mimic 4:</t>
  </si>
  <si>
    <t>Mimic 5:</t>
  </si>
  <si>
    <t>Mimic 6:</t>
  </si>
  <si>
    <t>Mimic 7:</t>
  </si>
  <si>
    <t>Fed Int - V1 FeSSIF</t>
  </si>
  <si>
    <t>molwtmg/mmol</t>
  </si>
  <si>
    <t>Conc(mM)</t>
  </si>
  <si>
    <t>Mass(g)</t>
  </si>
  <si>
    <t>Actual Mass (g)</t>
  </si>
  <si>
    <t>TCA</t>
  </si>
  <si>
    <t>Lecithin</t>
  </si>
  <si>
    <t>acetic acid</t>
  </si>
  <si>
    <t>g/mL</t>
  </si>
  <si>
    <t>NaOH</t>
  </si>
  <si>
    <t>mL acetic acid</t>
  </si>
  <si>
    <t>NaCl</t>
  </si>
  <si>
    <t>Volume Desired=</t>
  </si>
  <si>
    <t>pH target=</t>
  </si>
  <si>
    <t>Volume Actual=</t>
  </si>
  <si>
    <t>pH actual pH=</t>
  </si>
  <si>
    <t>L</t>
  </si>
  <si>
    <t>g</t>
  </si>
  <si>
    <t>Crystalline_THCa</t>
  </si>
  <si>
    <t>56.6mg THCa handpressed into 403.3mg tablet (final tablet weight: 382.5mg)</t>
  </si>
  <si>
    <t>250 mL mimic per run</t>
  </si>
  <si>
    <t>Run 1: using mimic 1</t>
  </si>
  <si>
    <t xml:space="preserve">run 2: </t>
  </si>
  <si>
    <t>THCa Peak Area</t>
  </si>
  <si>
    <t>[THCa] (ng/ul) HPLC</t>
  </si>
  <si>
    <t>Amorphous THCa</t>
  </si>
  <si>
    <t>Run 1: 50.0mg amorphous THCa handpressed into 406.3mg tablet (final tablet weight: 379.1mg) using mimic 1 (with floaties)</t>
  </si>
  <si>
    <t>Run 1: mimic 1 (with floaties)</t>
  </si>
  <si>
    <t xml:space="preserve">Amorphous solid dispersion </t>
  </si>
  <si>
    <t>Notes??</t>
  </si>
  <si>
    <t>mimic 2</t>
  </si>
  <si>
    <t>mimic 3</t>
  </si>
  <si>
    <t>mimic 4</t>
  </si>
  <si>
    <t>mean (ng/ul)</t>
  </si>
  <si>
    <t>std dev</t>
  </si>
  <si>
    <t>%std dev</t>
  </si>
  <si>
    <t xml:space="preserve">2:8 THCa:PVP run </t>
  </si>
  <si>
    <t>Run 1: 0.2524g 2:8 ASD + 0.1485g firmapress excipient... total tablet weight after press: 0.3575g</t>
  </si>
  <si>
    <t xml:space="preserve">Run 2: 0.2524g 2:8 ASD  + 0.1511g firmapress exciipient... total tablet weight after press: </t>
  </si>
  <si>
    <t>Run 3: 0.2548g 2:8 ASD  + 0.1624g of excipeient total weight after press: 0.3973g</t>
  </si>
  <si>
    <t>8:2 run</t>
  </si>
  <si>
    <t>Mimc 6:</t>
  </si>
  <si>
    <t>Amorphous THC</t>
  </si>
  <si>
    <t>Which mimic used for which runs??</t>
  </si>
  <si>
    <t>Run 1: using mimic 4</t>
  </si>
  <si>
    <t>mg THC</t>
  </si>
  <si>
    <t>mL Water</t>
  </si>
  <si>
    <t>mL H2O</t>
  </si>
  <si>
    <t xml:space="preserve">Run 1: 51.4mg THC ASD + 354.5mg excipent, after pressing total wt: 3545mg </t>
  </si>
  <si>
    <t>THC ASD</t>
  </si>
  <si>
    <t>Run 1: mimic 5</t>
  </si>
  <si>
    <t>Run 2: mimic 5</t>
  </si>
  <si>
    <t xml:space="preserve">Run 1: 101.6mg THC ASD + 299.9mg excipent, after pressing total wt: 336.7mg </t>
  </si>
  <si>
    <t xml:space="preserve">Run 2: 99.8mg THC ASD + 325.4mg excipent, after pressing total wt: 410.6mg </t>
  </si>
  <si>
    <t xml:space="preserve">THC+Gum Arabic </t>
  </si>
  <si>
    <t>371.8mg Spray dried mix + 30mg of excipient (final weight 373.2mg)</t>
  </si>
  <si>
    <t>Mimic Gum Arabic:</t>
  </si>
  <si>
    <t>2:8 THC:PVP</t>
  </si>
  <si>
    <t xml:space="preserve">0.2577g of 2:8 THC:PVP ASD + 0.1611g excipient; 0.3717g total weight </t>
  </si>
  <si>
    <t xml:space="preserve">[CBD] (ng/ul) </t>
  </si>
  <si>
    <t xml:space="preserve">% dissolved </t>
  </si>
  <si>
    <t>200.036mg ASD</t>
  </si>
  <si>
    <t>CBD Cal curve</t>
  </si>
  <si>
    <t xml:space="preserve">37C </t>
  </si>
  <si>
    <t>50rpm USP1 basket with powdered ASD</t>
  </si>
  <si>
    <t>*limiting case, tablet pressing will slow down dissolution, will use USP2 paddle for those?</t>
  </si>
  <si>
    <t>250ml FaSSIF pH 6.49</t>
  </si>
  <si>
    <t>*123.8 first run, made 2nd sample (I take 1ml at each time point and only put 0.5ml in HPLC vial)</t>
  </si>
  <si>
    <t>*accidentally sampled at 105'25"</t>
  </si>
  <si>
    <t xml:space="preserve">*accidentally labeled 265 min on HPLC table whoops </t>
  </si>
  <si>
    <t xml:space="preserve">*needed to go for an appointment! Anyways it is leveling off </t>
  </si>
  <si>
    <t>100.09mg CBD</t>
  </si>
  <si>
    <t>50rpm USP1 basket with powdered CBD</t>
  </si>
  <si>
    <t>-&gt; expect near 0% if so, as 1.84% after 21 hours is longer than the time the tablet would be in the body</t>
  </si>
  <si>
    <t xml:space="preserve"> </t>
  </si>
  <si>
    <t xml:space="preserve">Hey </t>
  </si>
  <si>
    <t xml:space="preserve">HEY </t>
  </si>
  <si>
    <t xml:space="preserve">get the HECK off the computer </t>
  </si>
  <si>
    <t>I want to play skyrim</t>
  </si>
  <si>
    <t>lol</t>
  </si>
  <si>
    <t xml:space="preserve">Ill come back later </t>
  </si>
  <si>
    <t>c ya</t>
  </si>
  <si>
    <t>I only had 70mg to spare so this was a lower amount used, just to see if ANY would dissolve to justify a replicate.</t>
  </si>
  <si>
    <t>[CBD] (ng/ul)</t>
  </si>
  <si>
    <t>*required manual calculation because the RT is off slightly</t>
  </si>
  <si>
    <t>Used the basket with 100.0mg cbd weighed in directly</t>
  </si>
  <si>
    <t>This time the solvent was degassed by bubbling N2 for 45 min prior to use</t>
  </si>
  <si>
    <t xml:space="preserve">251 ml used to account for the volume difference at 37C </t>
  </si>
  <si>
    <t xml:space="preserve">1.5ml withdrawn at each time point from exact same position by syringe with long luer lock accessory washed with SGF between uses </t>
  </si>
  <si>
    <t xml:space="preserve">PVDF filtered (0.45um) </t>
  </si>
  <si>
    <t>600ul in HPLC vial measured directly without dilution</t>
  </si>
  <si>
    <t xml:space="preserve">Remainder saved in eppendorf in case of needing to remeasure @-20C </t>
  </si>
  <si>
    <t xml:space="preserve">2nd </t>
  </si>
  <si>
    <t>1.5ml withdrawn at each time point by syringe</t>
  </si>
  <si>
    <t>2nd</t>
  </si>
  <si>
    <t>2nd set</t>
  </si>
  <si>
    <t>[CBD] (ng/ul) (solution)</t>
  </si>
  <si>
    <t>*I noticed (too late) that the needle was getting a little powder on it and so I subsequently did not allow the needle to touch the vial or solution and wiped it off before mixing with MeOH for HPLC. I think this data point should be thrown out, it is artificially high</t>
  </si>
  <si>
    <t>*These values were high because I was not filtering the solution. It did not appear to have particulate but, they must have been very fine particles. Combining with 1:1 MeOH for this method is a mistake, as it will artificially enhance solubility! The solubility of these without MeOH would have been ~0</t>
  </si>
  <si>
    <t>Temp</t>
  </si>
  <si>
    <t>water density</t>
  </si>
  <si>
    <t>Volume</t>
  </si>
  <si>
    <t>V add @ RT</t>
  </si>
  <si>
    <t>Vf target</t>
  </si>
  <si>
    <t>FaSSIF-V2</t>
  </si>
  <si>
    <t>Dressman</t>
  </si>
  <si>
    <t>Mass(mg)</t>
  </si>
  <si>
    <t>Oleate</t>
  </si>
  <si>
    <t>Maleic Acid</t>
  </si>
  <si>
    <t>FeSSIF-V2</t>
  </si>
  <si>
    <t>Glyceryl monooleate</t>
  </si>
  <si>
    <t xml:space="preserve">&lt;- expensive </t>
  </si>
  <si>
    <t>Much cheaper</t>
  </si>
  <si>
    <t>Dressman1998 paper</t>
  </si>
  <si>
    <t>Fed stom - V1 FeSSGF</t>
  </si>
  <si>
    <t>sodium acetate</t>
  </si>
  <si>
    <t>Milk</t>
  </si>
  <si>
    <t>acetaminophin</t>
  </si>
  <si>
    <t>50 mg</t>
  </si>
  <si>
    <t>ibuprofen</t>
  </si>
  <si>
    <t>CBD (area)</t>
  </si>
  <si>
    <t>log(Pow)</t>
  </si>
  <si>
    <t>Octanol</t>
  </si>
  <si>
    <t>Water</t>
  </si>
  <si>
    <t>5 mg</t>
  </si>
  <si>
    <t>CBD(area)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</si>
</sst>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m/d"/>
    <numFmt numFmtId="166" formatCode="0.0000"/>
    <numFmt numFmtId="167" formatCode="#,##0.000"/>
    <numFmt numFmtId="168" formatCode="m/d/yyyy"/>
    <numFmt numFmtId="169" formatCode="0.000"/>
  </numFmts>
  <fonts count="11" x14ac:knownFonts="1">
    <font>
      <sz val="10"/>
      <color rgb="FF000000"/>
      <name val="Arial"/>
      <scheme val="minor"/>
    </font>
    <font>
      <b/>
      <u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rgb="FFFFFFFF"/>
      <name val="Arial"/>
      <family val="2"/>
      <scheme val="minor"/>
    </font>
    <font>
      <b/>
      <sz val="10"/>
      <color theme="1"/>
      <name val="Arial"/>
      <family val="2"/>
      <scheme val="minor"/>
    </font>
    <font>
      <sz val="18"/>
      <color theme="1"/>
      <name val="Arial"/>
      <family val="2"/>
      <scheme val="minor"/>
    </font>
    <font>
      <sz val="11"/>
      <color rgb="FF202124"/>
      <name val="Roboto"/>
    </font>
    <font>
      <strike/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i/>
      <sz val="10"/>
      <color theme="1"/>
      <name val="Arial"/>
      <family val="2"/>
      <scheme val="minor"/>
    </font>
    <font>
      <sz val="8"/>
      <color rgb="FF6D6D6D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999999"/>
        <bgColor rgb="FF999999"/>
      </patternFill>
    </fill>
    <fill>
      <patternFill patternType="solid">
        <fgColor rgb="FF666666"/>
        <bgColor rgb="FF666666"/>
      </patternFill>
    </fill>
    <fill>
      <patternFill patternType="solid">
        <fgColor theme="4"/>
        <bgColor theme="4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B7B7B7"/>
        <bgColor rgb="FFB7B7B7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0" fontId="3" fillId="2" borderId="0" xfId="0" applyFont="1" applyFill="1"/>
    <xf numFmtId="0" fontId="3" fillId="0" borderId="0" xfId="0" applyFont="1"/>
    <xf numFmtId="0" fontId="4" fillId="0" borderId="0" xfId="0" applyFont="1"/>
    <xf numFmtId="164" fontId="2" fillId="0" borderId="0" xfId="0" applyNumberFormat="1" applyFont="1"/>
    <xf numFmtId="2" fontId="2" fillId="0" borderId="0" xfId="0" applyNumberFormat="1" applyFont="1"/>
    <xf numFmtId="0" fontId="2" fillId="3" borderId="0" xfId="0" applyFont="1" applyFill="1"/>
    <xf numFmtId="10" fontId="2" fillId="0" borderId="0" xfId="0" applyNumberFormat="1" applyFont="1"/>
    <xf numFmtId="0" fontId="2" fillId="4" borderId="0" xfId="0" applyFont="1" applyFill="1"/>
    <xf numFmtId="165" fontId="2" fillId="0" borderId="0" xfId="0" applyNumberFormat="1" applyFont="1"/>
    <xf numFmtId="0" fontId="2" fillId="5" borderId="0" xfId="0" applyFont="1" applyFill="1"/>
    <xf numFmtId="0" fontId="4" fillId="3" borderId="0" xfId="0" applyFont="1" applyFill="1"/>
    <xf numFmtId="166" fontId="2" fillId="0" borderId="0" xfId="0" applyNumberFormat="1" applyFont="1"/>
    <xf numFmtId="167" fontId="6" fillId="7" borderId="0" xfId="0" applyNumberFormat="1" applyFont="1" applyFill="1" applyAlignment="1">
      <alignment horizontal="left"/>
    </xf>
    <xf numFmtId="0" fontId="2" fillId="8" borderId="0" xfId="0" applyFont="1" applyFill="1"/>
    <xf numFmtId="168" fontId="2" fillId="3" borderId="0" xfId="0" applyNumberFormat="1" applyFont="1" applyFill="1"/>
    <xf numFmtId="169" fontId="2" fillId="0" borderId="0" xfId="0" applyNumberFormat="1" applyFont="1"/>
    <xf numFmtId="0" fontId="4" fillId="4" borderId="0" xfId="0" applyFont="1" applyFill="1"/>
    <xf numFmtId="0" fontId="2" fillId="9" borderId="0" xfId="0" applyFont="1" applyFill="1"/>
    <xf numFmtId="0" fontId="3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7" fillId="0" borderId="0" xfId="0" applyFont="1"/>
    <xf numFmtId="2" fontId="7" fillId="0" borderId="0" xfId="0" applyNumberFormat="1" applyFont="1"/>
    <xf numFmtId="0" fontId="8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9" fillId="0" borderId="0" xfId="0" applyFont="1"/>
    <xf numFmtId="0" fontId="6" fillId="7" borderId="0" xfId="0" applyFont="1" applyFill="1" applyAlignment="1">
      <alignment horizontal="left"/>
    </xf>
    <xf numFmtId="0" fontId="2" fillId="11" borderId="0" xfId="0" applyFont="1" applyFill="1"/>
    <xf numFmtId="0" fontId="10" fillId="11" borderId="0" xfId="0" applyFont="1" applyFill="1" applyAlignment="1">
      <alignment wrapText="1"/>
    </xf>
    <xf numFmtId="166" fontId="2" fillId="11" borderId="0" xfId="0" applyNumberFormat="1" applyFont="1" applyFill="1"/>
    <xf numFmtId="9" fontId="2" fillId="0" borderId="0" xfId="0" applyNumberFormat="1" applyFont="1"/>
    <xf numFmtId="0" fontId="4" fillId="0" borderId="0" xfId="0" applyFont="1"/>
    <xf numFmtId="0" fontId="0" fillId="0" borderId="0" xfId="0"/>
    <xf numFmtId="0" fontId="2" fillId="0" borderId="0" xfId="0" applyFont="1"/>
    <xf numFmtId="0" fontId="5" fillId="0" borderId="0" xfId="0" applyFont="1" applyAlignment="1">
      <alignment horizontal="center" vertical="center"/>
    </xf>
    <xf numFmtId="0" fontId="2" fillId="6" borderId="0" xfId="0" applyFont="1" applyFill="1" applyAlignment="1">
      <alignment horizontal="center"/>
    </xf>
    <xf numFmtId="0" fontId="2" fillId="1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'Mike+Steve_Bioavail'!$A$5:$A$33</c:f>
              <c:numCache>
                <c:formatCode>General</c:formatCode>
                <c:ptCount val="29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135</c:v>
                </c:pt>
                <c:pt idx="25">
                  <c:v>150</c:v>
                </c:pt>
                <c:pt idx="26">
                  <c:v>165</c:v>
                </c:pt>
                <c:pt idx="27">
                  <c:v>180</c:v>
                </c:pt>
                <c:pt idx="28">
                  <c:v>340</c:v>
                </c:pt>
              </c:numCache>
            </c:numRef>
          </c:cat>
          <c:val>
            <c:numRef>
              <c:f>'Mike+Steve_Bioavail'!$C$5:$C$33</c:f>
              <c:numCache>
                <c:formatCode>0.0</c:formatCode>
                <c:ptCount val="29"/>
                <c:pt idx="0">
                  <c:v>-1.3507241373195575</c:v>
                </c:pt>
                <c:pt idx="1">
                  <c:v>-1.0157472562026222</c:v>
                </c:pt>
                <c:pt idx="2">
                  <c:v>-1.085534106435317</c:v>
                </c:pt>
                <c:pt idx="3">
                  <c:v>-0.75753591034165124</c:v>
                </c:pt>
                <c:pt idx="4">
                  <c:v>-0.78545065043472928</c:v>
                </c:pt>
                <c:pt idx="5">
                  <c:v>-0.5481753596435669</c:v>
                </c:pt>
                <c:pt idx="6">
                  <c:v>0.156671827706651</c:v>
                </c:pt>
                <c:pt idx="7">
                  <c:v>-0.19226242345682318</c:v>
                </c:pt>
                <c:pt idx="8">
                  <c:v>5.1991552357608745E-2</c:v>
                </c:pt>
                <c:pt idx="9">
                  <c:v>0.65215846435878444</c:v>
                </c:pt>
                <c:pt idx="10">
                  <c:v>0.74986005468455708</c:v>
                </c:pt>
                <c:pt idx="11">
                  <c:v>0.22645867793934582</c:v>
                </c:pt>
                <c:pt idx="12">
                  <c:v>0.98713534547571935</c:v>
                </c:pt>
                <c:pt idx="13">
                  <c:v>1.1057729908713008</c:v>
                </c:pt>
                <c:pt idx="14">
                  <c:v>1.1267090459411091</c:v>
                </c:pt>
                <c:pt idx="15">
                  <c:v>1.329090911615924</c:v>
                </c:pt>
                <c:pt idx="16">
                  <c:v>1.7617693830586321</c:v>
                </c:pt>
                <c:pt idx="17">
                  <c:v>1.4826219821278528</c:v>
                </c:pt>
                <c:pt idx="18">
                  <c:v>1.9990446738497945</c:v>
                </c:pt>
                <c:pt idx="19">
                  <c:v>2.1176823192453758</c:v>
                </c:pt>
                <c:pt idx="20">
                  <c:v>2.2014265395246095</c:v>
                </c:pt>
                <c:pt idx="21">
                  <c:v>1.8873857134774827</c:v>
                </c:pt>
                <c:pt idx="22">
                  <c:v>2.1665331144082618</c:v>
                </c:pt>
                <c:pt idx="23">
                  <c:v>2.180490484454801</c:v>
                </c:pt>
                <c:pt idx="24">
                  <c:v>2.5015099955251974</c:v>
                </c:pt>
                <c:pt idx="25">
                  <c:v>3.1923998128288762</c:v>
                </c:pt>
                <c:pt idx="26">
                  <c:v>2.9481458370144442</c:v>
                </c:pt>
                <c:pt idx="27">
                  <c:v>3.6250782842715843</c:v>
                </c:pt>
                <c:pt idx="28">
                  <c:v>6.0327246172995563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9C-6B44-BE42-B6930F03CC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7660236"/>
        <c:axId val="1888904822"/>
      </c:lineChart>
      <c:catAx>
        <c:axId val="8176602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Time (min)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88904822"/>
        <c:crosses val="autoZero"/>
        <c:auto val="1"/>
        <c:lblAlgn val="ctr"/>
        <c:lblOffset val="100"/>
        <c:noMultiLvlLbl val="1"/>
      </c:catAx>
      <c:valAx>
        <c:axId val="1888904822"/>
        <c:scaling>
          <c:orientation val="minMax"/>
          <c:max val="12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CBD (mg/L)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1766023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'Mike+Steve_Bioavail'!$A$42:$A$64</c:f>
              <c:numCache>
                <c:formatCode>General</c:formatCode>
                <c:ptCount val="23"/>
                <c:pt idx="0">
                  <c:v>2.5</c:v>
                </c:pt>
                <c:pt idx="1">
                  <c:v>5</c:v>
                </c:pt>
                <c:pt idx="2">
                  <c:v>7.5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60</c:v>
                </c:pt>
                <c:pt idx="11">
                  <c:v>75</c:v>
                </c:pt>
                <c:pt idx="12">
                  <c:v>90</c:v>
                </c:pt>
                <c:pt idx="13">
                  <c:v>105</c:v>
                </c:pt>
                <c:pt idx="14">
                  <c:v>120</c:v>
                </c:pt>
                <c:pt idx="15">
                  <c:v>135</c:v>
                </c:pt>
                <c:pt idx="16">
                  <c:v>150</c:v>
                </c:pt>
                <c:pt idx="17">
                  <c:v>165</c:v>
                </c:pt>
                <c:pt idx="18">
                  <c:v>180</c:v>
                </c:pt>
                <c:pt idx="19">
                  <c:v>195</c:v>
                </c:pt>
                <c:pt idx="20">
                  <c:v>210</c:v>
                </c:pt>
                <c:pt idx="21">
                  <c:v>225</c:v>
                </c:pt>
                <c:pt idx="22">
                  <c:v>240</c:v>
                </c:pt>
              </c:numCache>
            </c:numRef>
          </c:cat>
          <c:val>
            <c:numRef>
              <c:f>'Mike+Steve_Bioavail'!$C$42:$C$64</c:f>
              <c:numCache>
                <c:formatCode>0.0</c:formatCode>
                <c:ptCount val="23"/>
                <c:pt idx="0">
                  <c:v>16.721787864111256</c:v>
                </c:pt>
                <c:pt idx="1">
                  <c:v>29.113678821006022</c:v>
                </c:pt>
                <c:pt idx="2">
                  <c:v>37.707050439355157</c:v>
                </c:pt>
                <c:pt idx="3">
                  <c:v>42.937798380958974</c:v>
                </c:pt>
                <c:pt idx="4">
                  <c:v>54.935307548605827</c:v>
                </c:pt>
                <c:pt idx="5">
                  <c:v>62.788348439770296</c:v>
                </c:pt>
                <c:pt idx="6">
                  <c:v>69.534352729537119</c:v>
                </c:pt>
                <c:pt idx="7">
                  <c:v>73.886390368781576</c:v>
                </c:pt>
                <c:pt idx="8">
                  <c:v>80.694665467377021</c:v>
                </c:pt>
                <c:pt idx="9">
                  <c:v>88.097972739223692</c:v>
                </c:pt>
                <c:pt idx="10">
                  <c:v>93.25261191448142</c:v>
                </c:pt>
                <c:pt idx="11">
                  <c:v>96.165501971908952</c:v>
                </c:pt>
                <c:pt idx="12">
                  <c:v>103.74870269148275</c:v>
                </c:pt>
                <c:pt idx="13">
                  <c:v>107.93468484051755</c:v>
                </c:pt>
                <c:pt idx="14">
                  <c:v>107.54030305126963</c:v>
                </c:pt>
                <c:pt idx="15">
                  <c:v>113.69127516778525</c:v>
                </c:pt>
                <c:pt idx="16">
                  <c:v>113.48370580502319</c:v>
                </c:pt>
                <c:pt idx="17">
                  <c:v>115.99529509444406</c:v>
                </c:pt>
                <c:pt idx="18">
                  <c:v>120.23662907354874</c:v>
                </c:pt>
                <c:pt idx="19">
                  <c:v>122.54756797896631</c:v>
                </c:pt>
                <c:pt idx="20">
                  <c:v>124.00747249705944</c:v>
                </c:pt>
                <c:pt idx="21">
                  <c:v>124.52639590396458</c:v>
                </c:pt>
                <c:pt idx="22">
                  <c:v>124.92077769321249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8D-C343-AE74-B50358D7C8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2357728"/>
        <c:axId val="1630359045"/>
      </c:lineChart>
      <c:catAx>
        <c:axId val="3123577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Time (min)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30359045"/>
        <c:crosses val="autoZero"/>
        <c:auto val="1"/>
        <c:lblAlgn val="ctr"/>
        <c:lblOffset val="100"/>
        <c:noMultiLvlLbl val="1"/>
      </c:catAx>
      <c:valAx>
        <c:axId val="1630359045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CBD (mg/L)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1235772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'Mike+Steve_Bioavail'!$A$42:$A$64</c:f>
              <c:numCache>
                <c:formatCode>General</c:formatCode>
                <c:ptCount val="23"/>
                <c:pt idx="0">
                  <c:v>2.5</c:v>
                </c:pt>
                <c:pt idx="1">
                  <c:v>5</c:v>
                </c:pt>
                <c:pt idx="2">
                  <c:v>7.5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60</c:v>
                </c:pt>
                <c:pt idx="11">
                  <c:v>75</c:v>
                </c:pt>
                <c:pt idx="12">
                  <c:v>90</c:v>
                </c:pt>
                <c:pt idx="13">
                  <c:v>105</c:v>
                </c:pt>
                <c:pt idx="14">
                  <c:v>120</c:v>
                </c:pt>
                <c:pt idx="15">
                  <c:v>135</c:v>
                </c:pt>
                <c:pt idx="16">
                  <c:v>150</c:v>
                </c:pt>
                <c:pt idx="17">
                  <c:v>165</c:v>
                </c:pt>
                <c:pt idx="18">
                  <c:v>180</c:v>
                </c:pt>
                <c:pt idx="19">
                  <c:v>195</c:v>
                </c:pt>
                <c:pt idx="20">
                  <c:v>210</c:v>
                </c:pt>
                <c:pt idx="21">
                  <c:v>225</c:v>
                </c:pt>
                <c:pt idx="22">
                  <c:v>240</c:v>
                </c:pt>
              </c:numCache>
            </c:numRef>
          </c:cat>
          <c:val>
            <c:numRef>
              <c:f>'Mike+Steve_Bioavail'!$C$42:$C$64</c:f>
              <c:numCache>
                <c:formatCode>0.0</c:formatCode>
                <c:ptCount val="23"/>
                <c:pt idx="0">
                  <c:v>16.721787864111256</c:v>
                </c:pt>
                <c:pt idx="1">
                  <c:v>29.113678821006022</c:v>
                </c:pt>
                <c:pt idx="2">
                  <c:v>37.707050439355157</c:v>
                </c:pt>
                <c:pt idx="3">
                  <c:v>42.937798380958974</c:v>
                </c:pt>
                <c:pt idx="4">
                  <c:v>54.935307548605827</c:v>
                </c:pt>
                <c:pt idx="5">
                  <c:v>62.788348439770296</c:v>
                </c:pt>
                <c:pt idx="6">
                  <c:v>69.534352729537119</c:v>
                </c:pt>
                <c:pt idx="7">
                  <c:v>73.886390368781576</c:v>
                </c:pt>
                <c:pt idx="8">
                  <c:v>80.694665467377021</c:v>
                </c:pt>
                <c:pt idx="9">
                  <c:v>88.097972739223692</c:v>
                </c:pt>
                <c:pt idx="10">
                  <c:v>93.25261191448142</c:v>
                </c:pt>
                <c:pt idx="11">
                  <c:v>96.165501971908952</c:v>
                </c:pt>
                <c:pt idx="12">
                  <c:v>103.74870269148275</c:v>
                </c:pt>
                <c:pt idx="13">
                  <c:v>107.93468484051755</c:v>
                </c:pt>
                <c:pt idx="14">
                  <c:v>107.54030305126963</c:v>
                </c:pt>
                <c:pt idx="15">
                  <c:v>113.69127516778525</c:v>
                </c:pt>
                <c:pt idx="16">
                  <c:v>113.48370580502319</c:v>
                </c:pt>
                <c:pt idx="17">
                  <c:v>115.99529509444406</c:v>
                </c:pt>
                <c:pt idx="18">
                  <c:v>120.23662907354874</c:v>
                </c:pt>
                <c:pt idx="19">
                  <c:v>122.54756797896631</c:v>
                </c:pt>
                <c:pt idx="20">
                  <c:v>124.00747249705944</c:v>
                </c:pt>
                <c:pt idx="21">
                  <c:v>124.52639590396458</c:v>
                </c:pt>
                <c:pt idx="22">
                  <c:v>124.92077769321249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E1-AD45-A073-63476C36490D}"/>
            </c:ext>
          </c:extLst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numRef>
              <c:f>'Mike+Steve_Bioavail'!$A$42:$A$64</c:f>
              <c:numCache>
                <c:formatCode>General</c:formatCode>
                <c:ptCount val="23"/>
                <c:pt idx="0">
                  <c:v>2.5</c:v>
                </c:pt>
                <c:pt idx="1">
                  <c:v>5</c:v>
                </c:pt>
                <c:pt idx="2">
                  <c:v>7.5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60</c:v>
                </c:pt>
                <c:pt idx="11">
                  <c:v>75</c:v>
                </c:pt>
                <c:pt idx="12">
                  <c:v>90</c:v>
                </c:pt>
                <c:pt idx="13">
                  <c:v>105</c:v>
                </c:pt>
                <c:pt idx="14">
                  <c:v>120</c:v>
                </c:pt>
                <c:pt idx="15">
                  <c:v>135</c:v>
                </c:pt>
                <c:pt idx="16">
                  <c:v>150</c:v>
                </c:pt>
                <c:pt idx="17">
                  <c:v>165</c:v>
                </c:pt>
                <c:pt idx="18">
                  <c:v>180</c:v>
                </c:pt>
                <c:pt idx="19">
                  <c:v>195</c:v>
                </c:pt>
                <c:pt idx="20">
                  <c:v>210</c:v>
                </c:pt>
                <c:pt idx="21">
                  <c:v>225</c:v>
                </c:pt>
                <c:pt idx="22">
                  <c:v>240</c:v>
                </c:pt>
              </c:numCache>
            </c:numRef>
          </c:cat>
          <c:val>
            <c:numRef>
              <c:f>'Mike+Steve_Bioavail'!$C$73:$C$95</c:f>
              <c:numCache>
                <c:formatCode>0.0</c:formatCode>
                <c:ptCount val="23"/>
                <c:pt idx="0">
                  <c:v>9.4914550612329602</c:v>
                </c:pt>
                <c:pt idx="1">
                  <c:v>11.297308517262852</c:v>
                </c:pt>
                <c:pt idx="2">
                  <c:v>16.472704628796791</c:v>
                </c:pt>
                <c:pt idx="3">
                  <c:v>20.90085103438733</c:v>
                </c:pt>
                <c:pt idx="4">
                  <c:v>29.625683249152427</c:v>
                </c:pt>
                <c:pt idx="5">
                  <c:v>37.022071542240369</c:v>
                </c:pt>
                <c:pt idx="6">
                  <c:v>44.556839410503009</c:v>
                </c:pt>
                <c:pt idx="7">
                  <c:v>49.98823773611015</c:v>
                </c:pt>
                <c:pt idx="8">
                  <c:v>60.781844599737084</c:v>
                </c:pt>
                <c:pt idx="9">
                  <c:v>67.686985400954825</c:v>
                </c:pt>
                <c:pt idx="10">
                  <c:v>76.045111741506958</c:v>
                </c:pt>
                <c:pt idx="11">
                  <c:v>86.887151456445025</c:v>
                </c:pt>
                <c:pt idx="12">
                  <c:v>94.470352176018835</c:v>
                </c:pt>
                <c:pt idx="13">
                  <c:v>101.43084480730644</c:v>
                </c:pt>
                <c:pt idx="14">
                  <c:v>110.09340621324293</c:v>
                </c:pt>
                <c:pt idx="15">
                  <c:v>115.82923960423442</c:v>
                </c:pt>
                <c:pt idx="16">
                  <c:v>119.88376115685325</c:v>
                </c:pt>
                <c:pt idx="17">
                  <c:v>125.55040476025738</c:v>
                </c:pt>
                <c:pt idx="18">
                  <c:v>132.13035355981458</c:v>
                </c:pt>
                <c:pt idx="19">
                  <c:v>136.26790285753825</c:v>
                </c:pt>
                <c:pt idx="20">
                  <c:v>140.16328789870616</c:v>
                </c:pt>
                <c:pt idx="21">
                  <c:v>142.23898152632674</c:v>
                </c:pt>
                <c:pt idx="22">
                  <c:v>145.09651975368436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E1-AD45-A073-63476C3649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2651304"/>
        <c:axId val="1556777477"/>
      </c:lineChart>
      <c:catAx>
        <c:axId val="13626513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Time (min)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56777477"/>
        <c:crosses val="autoZero"/>
        <c:auto val="1"/>
        <c:lblAlgn val="ctr"/>
        <c:lblOffset val="100"/>
        <c:noMultiLvlLbl val="1"/>
      </c:catAx>
      <c:valAx>
        <c:axId val="1556777477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CBD (mg/L)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6265130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'Mike+Steve_Bioavail'!$A$42:$A$64</c:f>
              <c:numCache>
                <c:formatCode>General</c:formatCode>
                <c:ptCount val="23"/>
                <c:pt idx="0">
                  <c:v>2.5</c:v>
                </c:pt>
                <c:pt idx="1">
                  <c:v>5</c:v>
                </c:pt>
                <c:pt idx="2">
                  <c:v>7.5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60</c:v>
                </c:pt>
                <c:pt idx="11">
                  <c:v>75</c:v>
                </c:pt>
                <c:pt idx="12">
                  <c:v>90</c:v>
                </c:pt>
                <c:pt idx="13">
                  <c:v>105</c:v>
                </c:pt>
                <c:pt idx="14">
                  <c:v>120</c:v>
                </c:pt>
                <c:pt idx="15">
                  <c:v>135</c:v>
                </c:pt>
                <c:pt idx="16">
                  <c:v>150</c:v>
                </c:pt>
                <c:pt idx="17">
                  <c:v>165</c:v>
                </c:pt>
                <c:pt idx="18">
                  <c:v>180</c:v>
                </c:pt>
                <c:pt idx="19">
                  <c:v>195</c:v>
                </c:pt>
                <c:pt idx="20">
                  <c:v>210</c:v>
                </c:pt>
                <c:pt idx="21">
                  <c:v>225</c:v>
                </c:pt>
                <c:pt idx="22">
                  <c:v>240</c:v>
                </c:pt>
              </c:numCache>
            </c:numRef>
          </c:cat>
          <c:val>
            <c:numRef>
              <c:f>'Mike+Steve_Bioavail'!$C$42:$C$64</c:f>
              <c:numCache>
                <c:formatCode>0.0</c:formatCode>
                <c:ptCount val="23"/>
                <c:pt idx="0">
                  <c:v>16.721787864111256</c:v>
                </c:pt>
                <c:pt idx="1">
                  <c:v>29.113678821006022</c:v>
                </c:pt>
                <c:pt idx="2">
                  <c:v>37.707050439355157</c:v>
                </c:pt>
                <c:pt idx="3">
                  <c:v>42.937798380958974</c:v>
                </c:pt>
                <c:pt idx="4">
                  <c:v>54.935307548605827</c:v>
                </c:pt>
                <c:pt idx="5">
                  <c:v>62.788348439770296</c:v>
                </c:pt>
                <c:pt idx="6">
                  <c:v>69.534352729537119</c:v>
                </c:pt>
                <c:pt idx="7">
                  <c:v>73.886390368781576</c:v>
                </c:pt>
                <c:pt idx="8">
                  <c:v>80.694665467377021</c:v>
                </c:pt>
                <c:pt idx="9">
                  <c:v>88.097972739223692</c:v>
                </c:pt>
                <c:pt idx="10">
                  <c:v>93.25261191448142</c:v>
                </c:pt>
                <c:pt idx="11">
                  <c:v>96.165501971908952</c:v>
                </c:pt>
                <c:pt idx="12">
                  <c:v>103.74870269148275</c:v>
                </c:pt>
                <c:pt idx="13">
                  <c:v>107.93468484051755</c:v>
                </c:pt>
                <c:pt idx="14">
                  <c:v>107.54030305126963</c:v>
                </c:pt>
                <c:pt idx="15">
                  <c:v>113.69127516778525</c:v>
                </c:pt>
                <c:pt idx="16">
                  <c:v>113.48370580502319</c:v>
                </c:pt>
                <c:pt idx="17">
                  <c:v>115.99529509444406</c:v>
                </c:pt>
                <c:pt idx="18">
                  <c:v>120.23662907354874</c:v>
                </c:pt>
                <c:pt idx="19">
                  <c:v>122.54756797896631</c:v>
                </c:pt>
                <c:pt idx="20">
                  <c:v>124.00747249705944</c:v>
                </c:pt>
                <c:pt idx="21">
                  <c:v>124.52639590396458</c:v>
                </c:pt>
                <c:pt idx="22">
                  <c:v>124.92077769321249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95-D548-B919-E3F723EBD1A6}"/>
            </c:ext>
          </c:extLst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numRef>
              <c:f>'Mike+Steve_Bioavail'!$A$42:$A$64</c:f>
              <c:numCache>
                <c:formatCode>General</c:formatCode>
                <c:ptCount val="23"/>
                <c:pt idx="0">
                  <c:v>2.5</c:v>
                </c:pt>
                <c:pt idx="1">
                  <c:v>5</c:v>
                </c:pt>
                <c:pt idx="2">
                  <c:v>7.5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60</c:v>
                </c:pt>
                <c:pt idx="11">
                  <c:v>75</c:v>
                </c:pt>
                <c:pt idx="12">
                  <c:v>90</c:v>
                </c:pt>
                <c:pt idx="13">
                  <c:v>105</c:v>
                </c:pt>
                <c:pt idx="14">
                  <c:v>120</c:v>
                </c:pt>
                <c:pt idx="15">
                  <c:v>135</c:v>
                </c:pt>
                <c:pt idx="16">
                  <c:v>150</c:v>
                </c:pt>
                <c:pt idx="17">
                  <c:v>165</c:v>
                </c:pt>
                <c:pt idx="18">
                  <c:v>180</c:v>
                </c:pt>
                <c:pt idx="19">
                  <c:v>195</c:v>
                </c:pt>
                <c:pt idx="20">
                  <c:v>210</c:v>
                </c:pt>
                <c:pt idx="21">
                  <c:v>225</c:v>
                </c:pt>
                <c:pt idx="22">
                  <c:v>240</c:v>
                </c:pt>
              </c:numCache>
            </c:numRef>
          </c:cat>
          <c:val>
            <c:numRef>
              <c:f>'Mike+Steve_Bioavail'!$C$73:$C$95</c:f>
              <c:numCache>
                <c:formatCode>0.0</c:formatCode>
                <c:ptCount val="23"/>
                <c:pt idx="0">
                  <c:v>9.4914550612329602</c:v>
                </c:pt>
                <c:pt idx="1">
                  <c:v>11.297308517262852</c:v>
                </c:pt>
                <c:pt idx="2">
                  <c:v>16.472704628796791</c:v>
                </c:pt>
                <c:pt idx="3">
                  <c:v>20.90085103438733</c:v>
                </c:pt>
                <c:pt idx="4">
                  <c:v>29.625683249152427</c:v>
                </c:pt>
                <c:pt idx="5">
                  <c:v>37.022071542240369</c:v>
                </c:pt>
                <c:pt idx="6">
                  <c:v>44.556839410503009</c:v>
                </c:pt>
                <c:pt idx="7">
                  <c:v>49.98823773611015</c:v>
                </c:pt>
                <c:pt idx="8">
                  <c:v>60.781844599737084</c:v>
                </c:pt>
                <c:pt idx="9">
                  <c:v>67.686985400954825</c:v>
                </c:pt>
                <c:pt idx="10">
                  <c:v>76.045111741506958</c:v>
                </c:pt>
                <c:pt idx="11">
                  <c:v>86.887151456445025</c:v>
                </c:pt>
                <c:pt idx="12">
                  <c:v>94.470352176018835</c:v>
                </c:pt>
                <c:pt idx="13">
                  <c:v>101.43084480730644</c:v>
                </c:pt>
                <c:pt idx="14">
                  <c:v>110.09340621324293</c:v>
                </c:pt>
                <c:pt idx="15">
                  <c:v>115.82923960423442</c:v>
                </c:pt>
                <c:pt idx="16">
                  <c:v>119.88376115685325</c:v>
                </c:pt>
                <c:pt idx="17">
                  <c:v>125.55040476025738</c:v>
                </c:pt>
                <c:pt idx="18">
                  <c:v>132.13035355981458</c:v>
                </c:pt>
                <c:pt idx="19">
                  <c:v>136.26790285753825</c:v>
                </c:pt>
                <c:pt idx="20">
                  <c:v>140.16328789870616</c:v>
                </c:pt>
                <c:pt idx="21">
                  <c:v>142.23898152632674</c:v>
                </c:pt>
                <c:pt idx="22">
                  <c:v>145.09651975368436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95-D548-B919-E3F723EBD1A6}"/>
            </c:ext>
          </c:extLst>
        </c:ser>
        <c:ser>
          <c:idx val="2"/>
          <c:order val="2"/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numRef>
              <c:f>'Mike+Steve_Bioavail'!$A$42:$A$64</c:f>
              <c:numCache>
                <c:formatCode>General</c:formatCode>
                <c:ptCount val="23"/>
                <c:pt idx="0">
                  <c:v>2.5</c:v>
                </c:pt>
                <c:pt idx="1">
                  <c:v>5</c:v>
                </c:pt>
                <c:pt idx="2">
                  <c:v>7.5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60</c:v>
                </c:pt>
                <c:pt idx="11">
                  <c:v>75</c:v>
                </c:pt>
                <c:pt idx="12">
                  <c:v>90</c:v>
                </c:pt>
                <c:pt idx="13">
                  <c:v>105</c:v>
                </c:pt>
                <c:pt idx="14">
                  <c:v>120</c:v>
                </c:pt>
                <c:pt idx="15">
                  <c:v>135</c:v>
                </c:pt>
                <c:pt idx="16">
                  <c:v>150</c:v>
                </c:pt>
                <c:pt idx="17">
                  <c:v>165</c:v>
                </c:pt>
                <c:pt idx="18">
                  <c:v>180</c:v>
                </c:pt>
                <c:pt idx="19">
                  <c:v>195</c:v>
                </c:pt>
                <c:pt idx="20">
                  <c:v>210</c:v>
                </c:pt>
                <c:pt idx="21">
                  <c:v>225</c:v>
                </c:pt>
                <c:pt idx="22">
                  <c:v>240</c:v>
                </c:pt>
              </c:numCache>
            </c:numRef>
          </c:cat>
          <c:val>
            <c:numRef>
              <c:f>'Mike+Steve_Bioavail'!$C$107:$C$129</c:f>
              <c:numCache>
                <c:formatCode>0.0</c:formatCode>
                <c:ptCount val="23"/>
                <c:pt idx="0">
                  <c:v>5.2155261883346027</c:v>
                </c:pt>
                <c:pt idx="1">
                  <c:v>0.24078046080398538</c:v>
                </c:pt>
                <c:pt idx="2">
                  <c:v>0.17850965197536858</c:v>
                </c:pt>
                <c:pt idx="3">
                  <c:v>1.4170068497889712</c:v>
                </c:pt>
                <c:pt idx="4">
                  <c:v>3.7902165640351488</c:v>
                </c:pt>
                <c:pt idx="5">
                  <c:v>6.682349685186467</c:v>
                </c:pt>
                <c:pt idx="6">
                  <c:v>10.266380682211306</c:v>
                </c:pt>
                <c:pt idx="7">
                  <c:v>14.563066491385872</c:v>
                </c:pt>
                <c:pt idx="8">
                  <c:v>22.070158444613575</c:v>
                </c:pt>
                <c:pt idx="9">
                  <c:v>29.964713208330455</c:v>
                </c:pt>
                <c:pt idx="10">
                  <c:v>36.47547222030029</c:v>
                </c:pt>
                <c:pt idx="11">
                  <c:v>44.065591918632812</c:v>
                </c:pt>
                <c:pt idx="12">
                  <c:v>51.164464125095137</c:v>
                </c:pt>
                <c:pt idx="13">
                  <c:v>56.893378537327891</c:v>
                </c:pt>
                <c:pt idx="14">
                  <c:v>62.276344011623891</c:v>
                </c:pt>
                <c:pt idx="15">
                  <c:v>68.219746765377437</c:v>
                </c:pt>
                <c:pt idx="16">
                  <c:v>71.796858783643543</c:v>
                </c:pt>
                <c:pt idx="17">
                  <c:v>77.79561336746697</c:v>
                </c:pt>
                <c:pt idx="18">
                  <c:v>82.770359094997573</c:v>
                </c:pt>
                <c:pt idx="19">
                  <c:v>84.112640974192217</c:v>
                </c:pt>
                <c:pt idx="20">
                  <c:v>88.091053760464959</c:v>
                </c:pt>
                <c:pt idx="21">
                  <c:v>93.425586383449811</c:v>
                </c:pt>
                <c:pt idx="22">
                  <c:v>96.767453123918912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95-D548-B919-E3F723EBD1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3655941"/>
        <c:axId val="336974621"/>
      </c:lineChart>
      <c:catAx>
        <c:axId val="11636559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Time (min)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36974621"/>
        <c:crosses val="autoZero"/>
        <c:auto val="1"/>
        <c:lblAlgn val="ctr"/>
        <c:lblOffset val="100"/>
        <c:noMultiLvlLbl val="1"/>
      </c:catAx>
      <c:valAx>
        <c:axId val="336974621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CBD (mg/L)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6365594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'Mike+Steve_Bioavail'!$A$42:$A$64</c:f>
              <c:numCache>
                <c:formatCode>General</c:formatCode>
                <c:ptCount val="23"/>
                <c:pt idx="0">
                  <c:v>2.5</c:v>
                </c:pt>
                <c:pt idx="1">
                  <c:v>5</c:v>
                </c:pt>
                <c:pt idx="2">
                  <c:v>7.5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60</c:v>
                </c:pt>
                <c:pt idx="11">
                  <c:v>75</c:v>
                </c:pt>
                <c:pt idx="12">
                  <c:v>90</c:v>
                </c:pt>
                <c:pt idx="13">
                  <c:v>105</c:v>
                </c:pt>
                <c:pt idx="14">
                  <c:v>120</c:v>
                </c:pt>
                <c:pt idx="15">
                  <c:v>135</c:v>
                </c:pt>
                <c:pt idx="16">
                  <c:v>150</c:v>
                </c:pt>
                <c:pt idx="17">
                  <c:v>165</c:v>
                </c:pt>
                <c:pt idx="18">
                  <c:v>180</c:v>
                </c:pt>
                <c:pt idx="19">
                  <c:v>195</c:v>
                </c:pt>
                <c:pt idx="20">
                  <c:v>210</c:v>
                </c:pt>
                <c:pt idx="21">
                  <c:v>225</c:v>
                </c:pt>
                <c:pt idx="22">
                  <c:v>240</c:v>
                </c:pt>
              </c:numCache>
            </c:numRef>
          </c:cat>
          <c:val>
            <c:numRef>
              <c:f>'Mike+Steve_Bioavail'!$C$42:$C$64</c:f>
              <c:numCache>
                <c:formatCode>0.0</c:formatCode>
                <c:ptCount val="23"/>
                <c:pt idx="0">
                  <c:v>16.721787864111256</c:v>
                </c:pt>
                <c:pt idx="1">
                  <c:v>29.113678821006022</c:v>
                </c:pt>
                <c:pt idx="2">
                  <c:v>37.707050439355157</c:v>
                </c:pt>
                <c:pt idx="3">
                  <c:v>42.937798380958974</c:v>
                </c:pt>
                <c:pt idx="4">
                  <c:v>54.935307548605827</c:v>
                </c:pt>
                <c:pt idx="5">
                  <c:v>62.788348439770296</c:v>
                </c:pt>
                <c:pt idx="6">
                  <c:v>69.534352729537119</c:v>
                </c:pt>
                <c:pt idx="7">
                  <c:v>73.886390368781576</c:v>
                </c:pt>
                <c:pt idx="8">
                  <c:v>80.694665467377021</c:v>
                </c:pt>
                <c:pt idx="9">
                  <c:v>88.097972739223692</c:v>
                </c:pt>
                <c:pt idx="10">
                  <c:v>93.25261191448142</c:v>
                </c:pt>
                <c:pt idx="11">
                  <c:v>96.165501971908952</c:v>
                </c:pt>
                <c:pt idx="12">
                  <c:v>103.74870269148275</c:v>
                </c:pt>
                <c:pt idx="13">
                  <c:v>107.93468484051755</c:v>
                </c:pt>
                <c:pt idx="14">
                  <c:v>107.54030305126963</c:v>
                </c:pt>
                <c:pt idx="15">
                  <c:v>113.69127516778525</c:v>
                </c:pt>
                <c:pt idx="16">
                  <c:v>113.48370580502319</c:v>
                </c:pt>
                <c:pt idx="17">
                  <c:v>115.99529509444406</c:v>
                </c:pt>
                <c:pt idx="18">
                  <c:v>120.23662907354874</c:v>
                </c:pt>
                <c:pt idx="19">
                  <c:v>122.54756797896631</c:v>
                </c:pt>
                <c:pt idx="20">
                  <c:v>124.00747249705944</c:v>
                </c:pt>
                <c:pt idx="21">
                  <c:v>124.52639590396458</c:v>
                </c:pt>
                <c:pt idx="22">
                  <c:v>124.92077769321249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5D-6F41-A3D5-4802B22251A3}"/>
            </c:ext>
          </c:extLst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numRef>
              <c:f>'Mike+Steve_Bioavail'!$A$42:$A$64</c:f>
              <c:numCache>
                <c:formatCode>General</c:formatCode>
                <c:ptCount val="23"/>
                <c:pt idx="0">
                  <c:v>2.5</c:v>
                </c:pt>
                <c:pt idx="1">
                  <c:v>5</c:v>
                </c:pt>
                <c:pt idx="2">
                  <c:v>7.5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60</c:v>
                </c:pt>
                <c:pt idx="11">
                  <c:v>75</c:v>
                </c:pt>
                <c:pt idx="12">
                  <c:v>90</c:v>
                </c:pt>
                <c:pt idx="13">
                  <c:v>105</c:v>
                </c:pt>
                <c:pt idx="14">
                  <c:v>120</c:v>
                </c:pt>
                <c:pt idx="15">
                  <c:v>135</c:v>
                </c:pt>
                <c:pt idx="16">
                  <c:v>150</c:v>
                </c:pt>
                <c:pt idx="17">
                  <c:v>165</c:v>
                </c:pt>
                <c:pt idx="18">
                  <c:v>180</c:v>
                </c:pt>
                <c:pt idx="19">
                  <c:v>195</c:v>
                </c:pt>
                <c:pt idx="20">
                  <c:v>210</c:v>
                </c:pt>
                <c:pt idx="21">
                  <c:v>225</c:v>
                </c:pt>
                <c:pt idx="22">
                  <c:v>240</c:v>
                </c:pt>
              </c:numCache>
            </c:numRef>
          </c:cat>
          <c:val>
            <c:numRef>
              <c:f>'Mike+Steve_Bioavail'!$C$142:$C$164</c:f>
              <c:numCache>
                <c:formatCode>0.0</c:formatCode>
                <c:ptCount val="23"/>
                <c:pt idx="0">
                  <c:v>13.130837888327683</c:v>
                </c:pt>
                <c:pt idx="1">
                  <c:v>26.069328167162531</c:v>
                </c:pt>
                <c:pt idx="2">
                  <c:v>36.281740815055699</c:v>
                </c:pt>
                <c:pt idx="3">
                  <c:v>42.750985954473123</c:v>
                </c:pt>
                <c:pt idx="4">
                  <c:v>54.174219885144957</c:v>
                </c:pt>
                <c:pt idx="5">
                  <c:v>62.84370026984017</c:v>
                </c:pt>
                <c:pt idx="6">
                  <c:v>68.98775340759704</c:v>
                </c:pt>
                <c:pt idx="7">
                  <c:v>74.564450287137632</c:v>
                </c:pt>
                <c:pt idx="8">
                  <c:v>82.957171521483431</c:v>
                </c:pt>
                <c:pt idx="9">
                  <c:v>90.8102124126479</c:v>
                </c:pt>
                <c:pt idx="10">
                  <c:v>93.522452086072107</c:v>
                </c:pt>
                <c:pt idx="11">
                  <c:v>102.15733757697365</c:v>
                </c:pt>
                <c:pt idx="12">
                  <c:v>108.43285131114648</c:v>
                </c:pt>
                <c:pt idx="13">
                  <c:v>112.61191448142255</c:v>
                </c:pt>
                <c:pt idx="14">
                  <c:v>116.56265135266035</c:v>
                </c:pt>
                <c:pt idx="15">
                  <c:v>119.26797204732581</c:v>
                </c:pt>
                <c:pt idx="16">
                  <c:v>122.94886874697295</c:v>
                </c:pt>
                <c:pt idx="17">
                  <c:v>128.98913720334878</c:v>
                </c:pt>
                <c:pt idx="18">
                  <c:v>130.55974538158168</c:v>
                </c:pt>
                <c:pt idx="19">
                  <c:v>134.52432021033695</c:v>
                </c:pt>
                <c:pt idx="20">
                  <c:v>139.56133674669618</c:v>
                </c:pt>
                <c:pt idx="21">
                  <c:v>140.69604926312877</c:v>
                </c:pt>
                <c:pt idx="22">
                  <c:v>142.68179616688576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5D-6F41-A3D5-4802B22251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9394957"/>
        <c:axId val="1800127560"/>
      </c:lineChart>
      <c:catAx>
        <c:axId val="14993949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Time (min)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00127560"/>
        <c:crosses val="autoZero"/>
        <c:auto val="1"/>
        <c:lblAlgn val="ctr"/>
        <c:lblOffset val="100"/>
        <c:noMultiLvlLbl val="1"/>
      </c:catAx>
      <c:valAx>
        <c:axId val="180012756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CBD (mg/L)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9939495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'Mike+Steve_Bioavail'!$A$177:$A$199</c:f>
              <c:numCache>
                <c:formatCode>General</c:formatCode>
                <c:ptCount val="23"/>
                <c:pt idx="0">
                  <c:v>2.5</c:v>
                </c:pt>
                <c:pt idx="1">
                  <c:v>5</c:v>
                </c:pt>
                <c:pt idx="2">
                  <c:v>7.5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60</c:v>
                </c:pt>
                <c:pt idx="11">
                  <c:v>75</c:v>
                </c:pt>
                <c:pt idx="12">
                  <c:v>90</c:v>
                </c:pt>
                <c:pt idx="13">
                  <c:v>105</c:v>
                </c:pt>
                <c:pt idx="14">
                  <c:v>120</c:v>
                </c:pt>
                <c:pt idx="15">
                  <c:v>135</c:v>
                </c:pt>
                <c:pt idx="16">
                  <c:v>150</c:v>
                </c:pt>
                <c:pt idx="17">
                  <c:v>165</c:v>
                </c:pt>
                <c:pt idx="18">
                  <c:v>180</c:v>
                </c:pt>
                <c:pt idx="19">
                  <c:v>195</c:v>
                </c:pt>
                <c:pt idx="20">
                  <c:v>210</c:v>
                </c:pt>
                <c:pt idx="21">
                  <c:v>225</c:v>
                </c:pt>
                <c:pt idx="22">
                  <c:v>240</c:v>
                </c:pt>
              </c:numCache>
            </c:numRef>
          </c:cat>
          <c:val>
            <c:numRef>
              <c:f>'Mike+Steve_Bioavail'!$C$177:$C$199</c:f>
              <c:numCache>
                <c:formatCode>0.0</c:formatCode>
                <c:ptCount val="23"/>
                <c:pt idx="0">
                  <c:v>1.7560368089669964</c:v>
                </c:pt>
                <c:pt idx="1">
                  <c:v>5.0148758043312816</c:v>
                </c:pt>
                <c:pt idx="2">
                  <c:v>8.176849097073271</c:v>
                </c:pt>
                <c:pt idx="3">
                  <c:v>11.145090984570677</c:v>
                </c:pt>
                <c:pt idx="4">
                  <c:v>16.514218501349202</c:v>
                </c:pt>
                <c:pt idx="5">
                  <c:v>21.392098526257527</c:v>
                </c:pt>
                <c:pt idx="6">
                  <c:v>26.387601190064348</c:v>
                </c:pt>
                <c:pt idx="7">
                  <c:v>30.988722064623264</c:v>
                </c:pt>
                <c:pt idx="8">
                  <c:v>39.464471044073896</c:v>
                </c:pt>
                <c:pt idx="9">
                  <c:v>46.943887082266663</c:v>
                </c:pt>
                <c:pt idx="10">
                  <c:v>54.367951290389541</c:v>
                </c:pt>
                <c:pt idx="11">
                  <c:v>63.466408358126344</c:v>
                </c:pt>
                <c:pt idx="12">
                  <c:v>71.464747803224256</c:v>
                </c:pt>
                <c:pt idx="13">
                  <c:v>79.013353629004357</c:v>
                </c:pt>
                <c:pt idx="14">
                  <c:v>85.281948384418456</c:v>
                </c:pt>
                <c:pt idx="15">
                  <c:v>92.844392167716052</c:v>
                </c:pt>
                <c:pt idx="16">
                  <c:v>98.144329896907223</c:v>
                </c:pt>
                <c:pt idx="17">
                  <c:v>103.39583477478725</c:v>
                </c:pt>
                <c:pt idx="18">
                  <c:v>108.37058050231786</c:v>
                </c:pt>
                <c:pt idx="19">
                  <c:v>112.85407873797827</c:v>
                </c:pt>
                <c:pt idx="20">
                  <c:v>116.43119075624438</c:v>
                </c:pt>
                <c:pt idx="21">
                  <c:v>122.24313291358196</c:v>
                </c:pt>
                <c:pt idx="22">
                  <c:v>127.21095966235384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BE-0C40-BEC1-F76A907422EC}"/>
            </c:ext>
          </c:extLst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numRef>
              <c:f>'Mike+Steve_Bioavail'!$A$177:$A$199</c:f>
              <c:numCache>
                <c:formatCode>General</c:formatCode>
                <c:ptCount val="23"/>
                <c:pt idx="0">
                  <c:v>2.5</c:v>
                </c:pt>
                <c:pt idx="1">
                  <c:v>5</c:v>
                </c:pt>
                <c:pt idx="2">
                  <c:v>7.5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60</c:v>
                </c:pt>
                <c:pt idx="11">
                  <c:v>75</c:v>
                </c:pt>
                <c:pt idx="12">
                  <c:v>90</c:v>
                </c:pt>
                <c:pt idx="13">
                  <c:v>105</c:v>
                </c:pt>
                <c:pt idx="14">
                  <c:v>120</c:v>
                </c:pt>
                <c:pt idx="15">
                  <c:v>135</c:v>
                </c:pt>
                <c:pt idx="16">
                  <c:v>150</c:v>
                </c:pt>
                <c:pt idx="17">
                  <c:v>165</c:v>
                </c:pt>
                <c:pt idx="18">
                  <c:v>180</c:v>
                </c:pt>
                <c:pt idx="19">
                  <c:v>195</c:v>
                </c:pt>
                <c:pt idx="20">
                  <c:v>210</c:v>
                </c:pt>
                <c:pt idx="21">
                  <c:v>225</c:v>
                </c:pt>
                <c:pt idx="22">
                  <c:v>240</c:v>
                </c:pt>
              </c:numCache>
            </c:numRef>
          </c:cat>
          <c:val>
            <c:numRef>
              <c:f>'Mike+Steve_Bioavail'!$D$37</c:f>
              <c:numCache>
                <c:formatCode>General</c:formatCode>
                <c:ptCount val="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BE-0C40-BEC1-F76A907422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5493867"/>
        <c:axId val="1778131468"/>
      </c:lineChart>
      <c:catAx>
        <c:axId val="21354938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Time (min)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78131468"/>
        <c:crosses val="autoZero"/>
        <c:auto val="1"/>
        <c:lblAlgn val="ctr"/>
        <c:lblOffset val="100"/>
        <c:noMultiLvlLbl val="1"/>
      </c:catAx>
      <c:valAx>
        <c:axId val="1778131468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CBD (mg/L)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3549386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'Mike+Steve_Bioavail'!$A$177:$A$199</c:f>
              <c:numCache>
                <c:formatCode>General</c:formatCode>
                <c:ptCount val="23"/>
                <c:pt idx="0">
                  <c:v>2.5</c:v>
                </c:pt>
                <c:pt idx="1">
                  <c:v>5</c:v>
                </c:pt>
                <c:pt idx="2">
                  <c:v>7.5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60</c:v>
                </c:pt>
                <c:pt idx="11">
                  <c:v>75</c:v>
                </c:pt>
                <c:pt idx="12">
                  <c:v>90</c:v>
                </c:pt>
                <c:pt idx="13">
                  <c:v>105</c:v>
                </c:pt>
                <c:pt idx="14">
                  <c:v>120</c:v>
                </c:pt>
                <c:pt idx="15">
                  <c:v>135</c:v>
                </c:pt>
                <c:pt idx="16">
                  <c:v>150</c:v>
                </c:pt>
                <c:pt idx="17">
                  <c:v>165</c:v>
                </c:pt>
                <c:pt idx="18">
                  <c:v>180</c:v>
                </c:pt>
                <c:pt idx="19">
                  <c:v>195</c:v>
                </c:pt>
                <c:pt idx="20">
                  <c:v>210</c:v>
                </c:pt>
                <c:pt idx="21">
                  <c:v>225</c:v>
                </c:pt>
                <c:pt idx="22">
                  <c:v>240</c:v>
                </c:pt>
              </c:numCache>
            </c:numRef>
          </c:cat>
          <c:val>
            <c:numRef>
              <c:f>'Mike+Steve_Bioavail'!$C$210:$C$232</c:f>
              <c:numCache>
                <c:formatCode>0.0</c:formatCode>
                <c:ptCount val="23"/>
                <c:pt idx="0">
                  <c:v>4.7934684840517541</c:v>
                </c:pt>
                <c:pt idx="1">
                  <c:v>6.4401854286307341</c:v>
                </c:pt>
                <c:pt idx="2">
                  <c:v>10.224866809658895</c:v>
                </c:pt>
                <c:pt idx="3">
                  <c:v>13.442191932470768</c:v>
                </c:pt>
                <c:pt idx="4">
                  <c:v>19.496298346364078</c:v>
                </c:pt>
                <c:pt idx="5">
                  <c:v>25.716460250467033</c:v>
                </c:pt>
                <c:pt idx="6">
                  <c:v>30.760395765585002</c:v>
                </c:pt>
                <c:pt idx="7">
                  <c:v>35.908115962083997</c:v>
                </c:pt>
                <c:pt idx="8">
                  <c:v>43.678129108143636</c:v>
                </c:pt>
                <c:pt idx="9">
                  <c:v>53.004912474918704</c:v>
                </c:pt>
                <c:pt idx="10">
                  <c:v>59.993081021241267</c:v>
                </c:pt>
                <c:pt idx="11">
                  <c:v>69.963329412578716</c:v>
                </c:pt>
                <c:pt idx="12">
                  <c:v>77.117553449110915</c:v>
                </c:pt>
                <c:pt idx="13">
                  <c:v>84.852971701376887</c:v>
                </c:pt>
                <c:pt idx="14">
                  <c:v>93.141908254341672</c:v>
                </c:pt>
                <c:pt idx="15">
                  <c:v>97.203348785719243</c:v>
                </c:pt>
                <c:pt idx="16">
                  <c:v>104.79346848405176</c:v>
                </c:pt>
                <c:pt idx="17">
                  <c:v>110.61924859890681</c:v>
                </c:pt>
                <c:pt idx="18">
                  <c:v>115.56631841140248</c:v>
                </c:pt>
                <c:pt idx="19">
                  <c:v>120.03597868954543</c:v>
                </c:pt>
                <c:pt idx="20">
                  <c:v>123.11492423718261</c:v>
                </c:pt>
                <c:pt idx="21">
                  <c:v>129.17594962983463</c:v>
                </c:pt>
                <c:pt idx="22">
                  <c:v>132.30332802878297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48-1144-A032-C0D63756ED16}"/>
            </c:ext>
          </c:extLst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numRef>
              <c:f>'Mike+Steve_Bioavail'!$A$177:$A$199</c:f>
              <c:numCache>
                <c:formatCode>General</c:formatCode>
                <c:ptCount val="23"/>
                <c:pt idx="0">
                  <c:v>2.5</c:v>
                </c:pt>
                <c:pt idx="1">
                  <c:v>5</c:v>
                </c:pt>
                <c:pt idx="2">
                  <c:v>7.5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60</c:v>
                </c:pt>
                <c:pt idx="11">
                  <c:v>75</c:v>
                </c:pt>
                <c:pt idx="12">
                  <c:v>90</c:v>
                </c:pt>
                <c:pt idx="13">
                  <c:v>105</c:v>
                </c:pt>
                <c:pt idx="14">
                  <c:v>120</c:v>
                </c:pt>
                <c:pt idx="15">
                  <c:v>135</c:v>
                </c:pt>
                <c:pt idx="16">
                  <c:v>150</c:v>
                </c:pt>
                <c:pt idx="17">
                  <c:v>165</c:v>
                </c:pt>
                <c:pt idx="18">
                  <c:v>180</c:v>
                </c:pt>
                <c:pt idx="19">
                  <c:v>195</c:v>
                </c:pt>
                <c:pt idx="20">
                  <c:v>210</c:v>
                </c:pt>
                <c:pt idx="21">
                  <c:v>225</c:v>
                </c:pt>
                <c:pt idx="22">
                  <c:v>240</c:v>
                </c:pt>
              </c:numCache>
            </c:numRef>
          </c:cat>
          <c:val>
            <c:numRef>
              <c:f>'Mike+Steve_Bioavail'!$D$37</c:f>
              <c:numCache>
                <c:formatCode>General</c:formatCode>
                <c:ptCount val="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48-1144-A032-C0D63756ED16}"/>
            </c:ext>
          </c:extLst>
        </c:ser>
        <c:ser>
          <c:idx val="2"/>
          <c:order val="2"/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numRef>
              <c:f>'Mike+Steve_Bioavail'!$A$177:$A$199</c:f>
              <c:numCache>
                <c:formatCode>General</c:formatCode>
                <c:ptCount val="23"/>
                <c:pt idx="0">
                  <c:v>2.5</c:v>
                </c:pt>
                <c:pt idx="1">
                  <c:v>5</c:v>
                </c:pt>
                <c:pt idx="2">
                  <c:v>7.5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60</c:v>
                </c:pt>
                <c:pt idx="11">
                  <c:v>75</c:v>
                </c:pt>
                <c:pt idx="12">
                  <c:v>90</c:v>
                </c:pt>
                <c:pt idx="13">
                  <c:v>105</c:v>
                </c:pt>
                <c:pt idx="14">
                  <c:v>120</c:v>
                </c:pt>
                <c:pt idx="15">
                  <c:v>135</c:v>
                </c:pt>
                <c:pt idx="16">
                  <c:v>150</c:v>
                </c:pt>
                <c:pt idx="17">
                  <c:v>165</c:v>
                </c:pt>
                <c:pt idx="18">
                  <c:v>180</c:v>
                </c:pt>
                <c:pt idx="19">
                  <c:v>195</c:v>
                </c:pt>
                <c:pt idx="20">
                  <c:v>210</c:v>
                </c:pt>
                <c:pt idx="21">
                  <c:v>225</c:v>
                </c:pt>
                <c:pt idx="22">
                  <c:v>240</c:v>
                </c:pt>
              </c:numCache>
            </c:numRef>
          </c:cat>
          <c:val>
            <c:numRef>
              <c:f>'Mike+Steve_Bioavail'!$C$177:$C$199</c:f>
              <c:numCache>
                <c:formatCode>0.0</c:formatCode>
                <c:ptCount val="23"/>
                <c:pt idx="0">
                  <c:v>1.7560368089669964</c:v>
                </c:pt>
                <c:pt idx="1">
                  <c:v>5.0148758043312816</c:v>
                </c:pt>
                <c:pt idx="2">
                  <c:v>8.176849097073271</c:v>
                </c:pt>
                <c:pt idx="3">
                  <c:v>11.145090984570677</c:v>
                </c:pt>
                <c:pt idx="4">
                  <c:v>16.514218501349202</c:v>
                </c:pt>
                <c:pt idx="5">
                  <c:v>21.392098526257527</c:v>
                </c:pt>
                <c:pt idx="6">
                  <c:v>26.387601190064348</c:v>
                </c:pt>
                <c:pt idx="7">
                  <c:v>30.988722064623264</c:v>
                </c:pt>
                <c:pt idx="8">
                  <c:v>39.464471044073896</c:v>
                </c:pt>
                <c:pt idx="9">
                  <c:v>46.943887082266663</c:v>
                </c:pt>
                <c:pt idx="10">
                  <c:v>54.367951290389541</c:v>
                </c:pt>
                <c:pt idx="11">
                  <c:v>63.466408358126344</c:v>
                </c:pt>
                <c:pt idx="12">
                  <c:v>71.464747803224256</c:v>
                </c:pt>
                <c:pt idx="13">
                  <c:v>79.013353629004357</c:v>
                </c:pt>
                <c:pt idx="14">
                  <c:v>85.281948384418456</c:v>
                </c:pt>
                <c:pt idx="15">
                  <c:v>92.844392167716052</c:v>
                </c:pt>
                <c:pt idx="16">
                  <c:v>98.144329896907223</c:v>
                </c:pt>
                <c:pt idx="17">
                  <c:v>103.39583477478725</c:v>
                </c:pt>
                <c:pt idx="18">
                  <c:v>108.37058050231786</c:v>
                </c:pt>
                <c:pt idx="19">
                  <c:v>112.85407873797827</c:v>
                </c:pt>
                <c:pt idx="20">
                  <c:v>116.43119075624438</c:v>
                </c:pt>
                <c:pt idx="21">
                  <c:v>122.24313291358196</c:v>
                </c:pt>
                <c:pt idx="22">
                  <c:v>127.21095966235384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548-1144-A032-C0D63756ED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9325201"/>
        <c:axId val="1551387220"/>
      </c:lineChart>
      <c:catAx>
        <c:axId val="6193252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Time (min)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51387220"/>
        <c:crosses val="autoZero"/>
        <c:auto val="1"/>
        <c:lblAlgn val="ctr"/>
        <c:lblOffset val="100"/>
        <c:noMultiLvlLbl val="1"/>
      </c:catAx>
      <c:valAx>
        <c:axId val="155138722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CBD (mg/L)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1932520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'Mike+Steve_Bioavail'!$A$42:$A$54</c:f>
              <c:numCache>
                <c:formatCode>General</c:formatCode>
                <c:ptCount val="13"/>
                <c:pt idx="0">
                  <c:v>2.5</c:v>
                </c:pt>
                <c:pt idx="1">
                  <c:v>5</c:v>
                </c:pt>
                <c:pt idx="2">
                  <c:v>7.5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60</c:v>
                </c:pt>
                <c:pt idx="11">
                  <c:v>75</c:v>
                </c:pt>
                <c:pt idx="12">
                  <c:v>90</c:v>
                </c:pt>
              </c:numCache>
            </c:numRef>
          </c:cat>
          <c:val>
            <c:numRef>
              <c:f>'Mike+Steve_Bioavail'!$C$42:$C$54</c:f>
              <c:numCache>
                <c:formatCode>0.0</c:formatCode>
                <c:ptCount val="13"/>
                <c:pt idx="0">
                  <c:v>16.721787864111256</c:v>
                </c:pt>
                <c:pt idx="1">
                  <c:v>29.113678821006022</c:v>
                </c:pt>
                <c:pt idx="2">
                  <c:v>37.707050439355157</c:v>
                </c:pt>
                <c:pt idx="3">
                  <c:v>42.937798380958974</c:v>
                </c:pt>
                <c:pt idx="4">
                  <c:v>54.935307548605827</c:v>
                </c:pt>
                <c:pt idx="5">
                  <c:v>62.788348439770296</c:v>
                </c:pt>
                <c:pt idx="6">
                  <c:v>69.534352729537119</c:v>
                </c:pt>
                <c:pt idx="7">
                  <c:v>73.886390368781576</c:v>
                </c:pt>
                <c:pt idx="8">
                  <c:v>80.694665467377021</c:v>
                </c:pt>
                <c:pt idx="9">
                  <c:v>88.097972739223692</c:v>
                </c:pt>
                <c:pt idx="10">
                  <c:v>93.25261191448142</c:v>
                </c:pt>
                <c:pt idx="11">
                  <c:v>96.165501971908952</c:v>
                </c:pt>
                <c:pt idx="12">
                  <c:v>103.74870269148275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0C-9B44-8393-A175BFFBF1BA}"/>
            </c:ext>
          </c:extLst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numRef>
              <c:f>'Mike+Steve_Bioavail'!$A$42:$A$54</c:f>
              <c:numCache>
                <c:formatCode>General</c:formatCode>
                <c:ptCount val="13"/>
                <c:pt idx="0">
                  <c:v>2.5</c:v>
                </c:pt>
                <c:pt idx="1">
                  <c:v>5</c:v>
                </c:pt>
                <c:pt idx="2">
                  <c:v>7.5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60</c:v>
                </c:pt>
                <c:pt idx="11">
                  <c:v>75</c:v>
                </c:pt>
                <c:pt idx="12">
                  <c:v>90</c:v>
                </c:pt>
              </c:numCache>
            </c:numRef>
          </c:cat>
          <c:val>
            <c:numRef>
              <c:f>'Mike+Steve_Bioavail'!$C$142:$C$164</c:f>
              <c:numCache>
                <c:formatCode>0.0</c:formatCode>
                <c:ptCount val="23"/>
                <c:pt idx="0">
                  <c:v>13.130837888327683</c:v>
                </c:pt>
                <c:pt idx="1">
                  <c:v>26.069328167162531</c:v>
                </c:pt>
                <c:pt idx="2">
                  <c:v>36.281740815055699</c:v>
                </c:pt>
                <c:pt idx="3">
                  <c:v>42.750985954473123</c:v>
                </c:pt>
                <c:pt idx="4">
                  <c:v>54.174219885144957</c:v>
                </c:pt>
                <c:pt idx="5">
                  <c:v>62.84370026984017</c:v>
                </c:pt>
                <c:pt idx="6">
                  <c:v>68.98775340759704</c:v>
                </c:pt>
                <c:pt idx="7">
                  <c:v>74.564450287137632</c:v>
                </c:pt>
                <c:pt idx="8">
                  <c:v>82.957171521483431</c:v>
                </c:pt>
                <c:pt idx="9">
                  <c:v>90.8102124126479</c:v>
                </c:pt>
                <c:pt idx="10">
                  <c:v>93.522452086072107</c:v>
                </c:pt>
                <c:pt idx="11">
                  <c:v>102.15733757697365</c:v>
                </c:pt>
                <c:pt idx="12">
                  <c:v>108.43285131114648</c:v>
                </c:pt>
                <c:pt idx="13">
                  <c:v>112.61191448142255</c:v>
                </c:pt>
                <c:pt idx="14">
                  <c:v>116.56265135266035</c:v>
                </c:pt>
                <c:pt idx="15">
                  <c:v>119.26797204732581</c:v>
                </c:pt>
                <c:pt idx="16">
                  <c:v>122.94886874697295</c:v>
                </c:pt>
                <c:pt idx="17">
                  <c:v>128.98913720334878</c:v>
                </c:pt>
                <c:pt idx="18">
                  <c:v>130.55974538158168</c:v>
                </c:pt>
                <c:pt idx="19">
                  <c:v>134.52432021033695</c:v>
                </c:pt>
                <c:pt idx="20">
                  <c:v>139.56133674669618</c:v>
                </c:pt>
                <c:pt idx="21">
                  <c:v>140.69604926312877</c:v>
                </c:pt>
                <c:pt idx="22">
                  <c:v>142.68179616688576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0C-9B44-8393-A175BFFBF1BA}"/>
            </c:ext>
          </c:extLst>
        </c:ser>
        <c:ser>
          <c:idx val="2"/>
          <c:order val="2"/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numRef>
              <c:f>'Mike+Steve_Bioavail'!$A$42:$A$54</c:f>
              <c:numCache>
                <c:formatCode>General</c:formatCode>
                <c:ptCount val="13"/>
                <c:pt idx="0">
                  <c:v>2.5</c:v>
                </c:pt>
                <c:pt idx="1">
                  <c:v>5</c:v>
                </c:pt>
                <c:pt idx="2">
                  <c:v>7.5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60</c:v>
                </c:pt>
                <c:pt idx="11">
                  <c:v>75</c:v>
                </c:pt>
                <c:pt idx="12">
                  <c:v>90</c:v>
                </c:pt>
              </c:numCache>
            </c:numRef>
          </c:cat>
          <c:val>
            <c:numRef>
              <c:f>'Mike+Steve_Bioavail'!$C$244:$C$266</c:f>
              <c:numCache>
                <c:formatCode>0.0</c:formatCode>
                <c:ptCount val="23"/>
                <c:pt idx="0">
                  <c:v>0.27179176755447959</c:v>
                </c:pt>
                <c:pt idx="1">
                  <c:v>2.7687651331719128</c:v>
                </c:pt>
                <c:pt idx="2">
                  <c:v>4.7663438256658601</c:v>
                </c:pt>
                <c:pt idx="3">
                  <c:v>7.4222154963680387</c:v>
                </c:pt>
                <c:pt idx="4">
                  <c:v>10.638014527845037</c:v>
                </c:pt>
                <c:pt idx="5">
                  <c:v>13.112288135593221</c:v>
                </c:pt>
                <c:pt idx="6">
                  <c:v>16.608050847457626</c:v>
                </c:pt>
                <c:pt idx="7">
                  <c:v>18.590496368038739</c:v>
                </c:pt>
                <c:pt idx="8">
                  <c:v>23.629842615012109</c:v>
                </c:pt>
                <c:pt idx="9">
                  <c:v>29.88740920096852</c:v>
                </c:pt>
                <c:pt idx="10">
                  <c:v>32.944309927360777</c:v>
                </c:pt>
                <c:pt idx="11">
                  <c:v>38.044188861985475</c:v>
                </c:pt>
                <c:pt idx="12">
                  <c:v>42.584140435835359</c:v>
                </c:pt>
                <c:pt idx="13">
                  <c:v>47.615920096852307</c:v>
                </c:pt>
                <c:pt idx="14">
                  <c:v>51.595944309927368</c:v>
                </c:pt>
                <c:pt idx="15">
                  <c:v>55.734866828087171</c:v>
                </c:pt>
                <c:pt idx="16">
                  <c:v>58.806900726392257</c:v>
                </c:pt>
                <c:pt idx="17">
                  <c:v>62.885290556900728</c:v>
                </c:pt>
                <c:pt idx="18">
                  <c:v>67.44037530266344</c:v>
                </c:pt>
                <c:pt idx="19">
                  <c:v>70.11138014527846</c:v>
                </c:pt>
                <c:pt idx="20">
                  <c:v>72.502421307506054</c:v>
                </c:pt>
                <c:pt idx="21">
                  <c:v>76.815375302663455</c:v>
                </c:pt>
                <c:pt idx="22">
                  <c:v>79.509079903147693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0C-9B44-8393-A175BFFBF1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7016485"/>
        <c:axId val="976072675"/>
      </c:lineChart>
      <c:catAx>
        <c:axId val="19970164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Time (min)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76072675"/>
        <c:crosses val="autoZero"/>
        <c:auto val="1"/>
        <c:lblAlgn val="ctr"/>
        <c:lblOffset val="100"/>
        <c:noMultiLvlLbl val="1"/>
      </c:catAx>
      <c:valAx>
        <c:axId val="976072675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CBD (mg/L)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9701648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cat>
            <c:numRef>
              <c:f>'Mike+Steve_Bioavail'!$G$266</c:f>
              <c:numCache>
                <c:formatCode>General</c:formatCode>
                <c:ptCount val="1"/>
              </c:numCache>
            </c:numRef>
          </c:cat>
          <c:val>
            <c:numRef>
              <c:f>'Mike+Steve_Bioavail'!$G$266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0FBB-5A49-9751-86243D6175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10058410"/>
        <c:axId val="610122735"/>
      </c:barChart>
      <c:catAx>
        <c:axId val="6100584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10122735"/>
        <c:crosses val="autoZero"/>
        <c:auto val="1"/>
        <c:lblAlgn val="ctr"/>
        <c:lblOffset val="100"/>
        <c:noMultiLvlLbl val="1"/>
      </c:catAx>
      <c:valAx>
        <c:axId val="610122735"/>
        <c:scaling>
          <c:orientation val="minMax"/>
        </c:scaling>
        <c:delete val="0"/>
        <c:axPos val="l"/>
        <c:numFmt formatCode="General" sourceLinked="1"/>
        <c:majorTickMark val="cross"/>
        <c:minorTickMark val="cross"/>
        <c:tickLblPos val="nextTo"/>
        <c:spPr>
          <a:ln>
            <a:noFill/>
          </a:ln>
        </c:spPr>
        <c:crossAx val="61005841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CBGa Peak Area and [CBGa] (ng/ul) HPLC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CBGa_bioavaliability!$B$9</c:f>
              <c:strCache>
                <c:ptCount val="1"/>
                <c:pt idx="0">
                  <c:v>CBGa Peak Area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CBGa_bioavaliability!$A$10:$A$32</c:f>
              <c:numCache>
                <c:formatCode>General</c:formatCode>
                <c:ptCount val="23"/>
                <c:pt idx="0">
                  <c:v>2.5</c:v>
                </c:pt>
                <c:pt idx="1">
                  <c:v>5</c:v>
                </c:pt>
                <c:pt idx="2">
                  <c:v>7.5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60</c:v>
                </c:pt>
                <c:pt idx="11">
                  <c:v>75</c:v>
                </c:pt>
                <c:pt idx="12">
                  <c:v>90</c:v>
                </c:pt>
                <c:pt idx="13">
                  <c:v>105</c:v>
                </c:pt>
                <c:pt idx="14">
                  <c:v>120</c:v>
                </c:pt>
                <c:pt idx="15">
                  <c:v>135</c:v>
                </c:pt>
                <c:pt idx="16">
                  <c:v>150</c:v>
                </c:pt>
                <c:pt idx="17">
                  <c:v>165</c:v>
                </c:pt>
                <c:pt idx="18">
                  <c:v>180</c:v>
                </c:pt>
                <c:pt idx="19">
                  <c:v>195</c:v>
                </c:pt>
                <c:pt idx="20">
                  <c:v>210</c:v>
                </c:pt>
                <c:pt idx="21">
                  <c:v>225</c:v>
                </c:pt>
                <c:pt idx="22">
                  <c:v>240</c:v>
                </c:pt>
              </c:numCache>
            </c:numRef>
          </c:xVal>
          <c:yVal>
            <c:numRef>
              <c:f>CBGa_bioavaliability!$B$10:$B$32</c:f>
              <c:numCache>
                <c:formatCode>0.0</c:formatCode>
                <c:ptCount val="23"/>
                <c:pt idx="0">
                  <c:v>320.2</c:v>
                </c:pt>
                <c:pt idx="1">
                  <c:v>575</c:v>
                </c:pt>
                <c:pt idx="2">
                  <c:v>787.5</c:v>
                </c:pt>
                <c:pt idx="3">
                  <c:v>931.3</c:v>
                </c:pt>
                <c:pt idx="4">
                  <c:v>1243.4000000000001</c:v>
                </c:pt>
                <c:pt idx="5">
                  <c:v>1461.7</c:v>
                </c:pt>
                <c:pt idx="6">
                  <c:v>1621.7</c:v>
                </c:pt>
                <c:pt idx="7">
                  <c:v>1733.8</c:v>
                </c:pt>
                <c:pt idx="8">
                  <c:v>1905.4</c:v>
                </c:pt>
                <c:pt idx="9">
                  <c:v>2185.8000000000002</c:v>
                </c:pt>
                <c:pt idx="10">
                  <c:v>2358.4</c:v>
                </c:pt>
                <c:pt idx="11">
                  <c:v>2469.6999999999998</c:v>
                </c:pt>
                <c:pt idx="12">
                  <c:v>2493.6999999999998</c:v>
                </c:pt>
                <c:pt idx="13">
                  <c:v>2701.7</c:v>
                </c:pt>
                <c:pt idx="14">
                  <c:v>2669.2</c:v>
                </c:pt>
                <c:pt idx="15">
                  <c:v>2692.6</c:v>
                </c:pt>
                <c:pt idx="16">
                  <c:v>2676.4</c:v>
                </c:pt>
                <c:pt idx="17">
                  <c:v>2832.9</c:v>
                </c:pt>
                <c:pt idx="18">
                  <c:v>2854.3</c:v>
                </c:pt>
                <c:pt idx="19">
                  <c:v>2815.3</c:v>
                </c:pt>
                <c:pt idx="20">
                  <c:v>2797.3</c:v>
                </c:pt>
                <c:pt idx="21">
                  <c:v>2808.3</c:v>
                </c:pt>
                <c:pt idx="22">
                  <c:v>2914.6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11E-FE49-97A2-15042C7671C6}"/>
            </c:ext>
          </c:extLst>
        </c:ser>
        <c:ser>
          <c:idx val="1"/>
          <c:order val="1"/>
          <c:tx>
            <c:strRef>
              <c:f>CBGa_bioavaliability!$C$9</c:f>
              <c:strCache>
                <c:ptCount val="1"/>
                <c:pt idx="0">
                  <c:v>[CBGa] (ng/ul) HPLC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CBGa_bioavaliability!$A$10:$A$32</c:f>
              <c:numCache>
                <c:formatCode>General</c:formatCode>
                <c:ptCount val="23"/>
                <c:pt idx="0">
                  <c:v>2.5</c:v>
                </c:pt>
                <c:pt idx="1">
                  <c:v>5</c:v>
                </c:pt>
                <c:pt idx="2">
                  <c:v>7.5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60</c:v>
                </c:pt>
                <c:pt idx="11">
                  <c:v>75</c:v>
                </c:pt>
                <c:pt idx="12">
                  <c:v>90</c:v>
                </c:pt>
                <c:pt idx="13">
                  <c:v>105</c:v>
                </c:pt>
                <c:pt idx="14">
                  <c:v>120</c:v>
                </c:pt>
                <c:pt idx="15">
                  <c:v>135</c:v>
                </c:pt>
                <c:pt idx="16">
                  <c:v>150</c:v>
                </c:pt>
                <c:pt idx="17">
                  <c:v>165</c:v>
                </c:pt>
                <c:pt idx="18">
                  <c:v>180</c:v>
                </c:pt>
                <c:pt idx="19">
                  <c:v>195</c:v>
                </c:pt>
                <c:pt idx="20">
                  <c:v>210</c:v>
                </c:pt>
                <c:pt idx="21">
                  <c:v>225</c:v>
                </c:pt>
                <c:pt idx="22">
                  <c:v>240</c:v>
                </c:pt>
              </c:numCache>
            </c:numRef>
          </c:xVal>
          <c:yVal>
            <c:numRef>
              <c:f>CBGa_bioavaliability!$C$10:$C$32</c:f>
              <c:numCache>
                <c:formatCode>0.0</c:formatCode>
                <c:ptCount val="23"/>
                <c:pt idx="0">
                  <c:v>10.172648573205947</c:v>
                </c:pt>
                <c:pt idx="1">
                  <c:v>20.262870802153223</c:v>
                </c:pt>
                <c:pt idx="2">
                  <c:v>28.677989419309021</c:v>
                </c:pt>
                <c:pt idx="3">
                  <c:v>34.372549688236091</c:v>
                </c:pt>
                <c:pt idx="4">
                  <c:v>46.73188390195056</c:v>
                </c:pt>
                <c:pt idx="5">
                  <c:v>55.376685756656961</c:v>
                </c:pt>
                <c:pt idx="6">
                  <c:v>61.712775068397796</c:v>
                </c:pt>
                <c:pt idx="7">
                  <c:v>66.151997642436214</c:v>
                </c:pt>
                <c:pt idx="8">
                  <c:v>72.947453429278269</c:v>
                </c:pt>
                <c:pt idx="9">
                  <c:v>84.051449948104064</c:v>
                </c:pt>
                <c:pt idx="10">
                  <c:v>90.886506293144492</c:v>
                </c:pt>
                <c:pt idx="11">
                  <c:v>95.294048420624193</c:v>
                </c:pt>
                <c:pt idx="12">
                  <c:v>96.244461817385314</c:v>
                </c:pt>
                <c:pt idx="13">
                  <c:v>104.48137792264841</c:v>
                </c:pt>
                <c:pt idx="14">
                  <c:v>103.19435978120104</c:v>
                </c:pt>
                <c:pt idx="15">
                  <c:v>104.12101284304315</c:v>
                </c:pt>
                <c:pt idx="16">
                  <c:v>103.47948380022939</c:v>
                </c:pt>
                <c:pt idx="17">
                  <c:v>109.6769711582759</c:v>
                </c:pt>
                <c:pt idx="18">
                  <c:v>110.52442310372123</c:v>
                </c:pt>
                <c:pt idx="19">
                  <c:v>108.9800013339844</c:v>
                </c:pt>
                <c:pt idx="20">
                  <c:v>108.26719128641356</c:v>
                </c:pt>
                <c:pt idx="21">
                  <c:v>108.70279742659575</c:v>
                </c:pt>
                <c:pt idx="22">
                  <c:v>112.91233676308356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11E-FE49-97A2-15042C7671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5705117"/>
        <c:axId val="484097385"/>
      </c:scatterChart>
      <c:valAx>
        <c:axId val="80570511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(min)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84097385"/>
        <c:crosses val="autoZero"/>
        <c:crossBetween val="midCat"/>
      </c:valAx>
      <c:valAx>
        <c:axId val="4840973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05705117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Bioavialability comparison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CBGa Caffiene Cocrystal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CBGa_bioavaliability!$A$41:$A$63</c:f>
              <c:numCache>
                <c:formatCode>General</c:formatCode>
                <c:ptCount val="23"/>
                <c:pt idx="0">
                  <c:v>2.5</c:v>
                </c:pt>
                <c:pt idx="1">
                  <c:v>5</c:v>
                </c:pt>
                <c:pt idx="2">
                  <c:v>7.5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60</c:v>
                </c:pt>
                <c:pt idx="11">
                  <c:v>75</c:v>
                </c:pt>
                <c:pt idx="12">
                  <c:v>90</c:v>
                </c:pt>
                <c:pt idx="13">
                  <c:v>105</c:v>
                </c:pt>
                <c:pt idx="14">
                  <c:v>120</c:v>
                </c:pt>
                <c:pt idx="15">
                  <c:v>135</c:v>
                </c:pt>
                <c:pt idx="16">
                  <c:v>150</c:v>
                </c:pt>
                <c:pt idx="17">
                  <c:v>165</c:v>
                </c:pt>
                <c:pt idx="18">
                  <c:v>180</c:v>
                </c:pt>
                <c:pt idx="19">
                  <c:v>195</c:v>
                </c:pt>
                <c:pt idx="20">
                  <c:v>210</c:v>
                </c:pt>
                <c:pt idx="21">
                  <c:v>225</c:v>
                </c:pt>
                <c:pt idx="22">
                  <c:v>240</c:v>
                </c:pt>
              </c:numCache>
            </c:numRef>
          </c:xVal>
          <c:yVal>
            <c:numRef>
              <c:f>CBGa_bioavaliability!$C$41:$C$63</c:f>
              <c:numCache>
                <c:formatCode>0.0</c:formatCode>
                <c:ptCount val="23"/>
                <c:pt idx="0">
                  <c:v>24.983257339400151</c:v>
                </c:pt>
                <c:pt idx="1">
                  <c:v>39.06917589056399</c:v>
                </c:pt>
                <c:pt idx="2">
                  <c:v>50.600858437932303</c:v>
                </c:pt>
                <c:pt idx="3">
                  <c:v>60.192113633579993</c:v>
                </c:pt>
                <c:pt idx="4">
                  <c:v>76.658025732466484</c:v>
                </c:pt>
                <c:pt idx="5">
                  <c:v>85.682992945877331</c:v>
                </c:pt>
                <c:pt idx="6">
                  <c:v>97.491879400634303</c:v>
                </c:pt>
                <c:pt idx="7">
                  <c:v>103.84380893565448</c:v>
                </c:pt>
                <c:pt idx="8">
                  <c:v>115.76357695336694</c:v>
                </c:pt>
                <c:pt idx="9">
                  <c:v>124.54698076176767</c:v>
                </c:pt>
                <c:pt idx="10">
                  <c:v>136.72019235194975</c:v>
                </c:pt>
                <c:pt idx="11">
                  <c:v>140.66836800432824</c:v>
                </c:pt>
                <c:pt idx="12">
                  <c:v>147.20246010706097</c:v>
                </c:pt>
                <c:pt idx="13">
                  <c:v>152.29509189137266</c:v>
                </c:pt>
                <c:pt idx="14">
                  <c:v>157.13428010321473</c:v>
                </c:pt>
                <c:pt idx="15">
                  <c:v>160.5676484990143</c:v>
                </c:pt>
                <c:pt idx="16">
                  <c:v>166.50377217295147</c:v>
                </c:pt>
                <c:pt idx="17">
                  <c:v>162.45659512507703</c:v>
                </c:pt>
                <c:pt idx="18">
                  <c:v>172.1706120511397</c:v>
                </c:pt>
                <c:pt idx="19">
                  <c:v>167.85811126333613</c:v>
                </c:pt>
                <c:pt idx="20">
                  <c:v>163.93765600169647</c:v>
                </c:pt>
                <c:pt idx="21">
                  <c:v>174.72880811075507</c:v>
                </c:pt>
                <c:pt idx="22">
                  <c:v>174.32488241713156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CEF-0B47-98F7-F144EF2AFE95}"/>
            </c:ext>
          </c:extLst>
        </c:ser>
        <c:ser>
          <c:idx val="1"/>
          <c:order val="1"/>
          <c:tx>
            <c:v>CBGa powder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CBGa_bioavaliability!$A$41:$A$63</c:f>
              <c:numCache>
                <c:formatCode>General</c:formatCode>
                <c:ptCount val="23"/>
                <c:pt idx="0">
                  <c:v>2.5</c:v>
                </c:pt>
                <c:pt idx="1">
                  <c:v>5</c:v>
                </c:pt>
                <c:pt idx="2">
                  <c:v>7.5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60</c:v>
                </c:pt>
                <c:pt idx="11">
                  <c:v>75</c:v>
                </c:pt>
                <c:pt idx="12">
                  <c:v>90</c:v>
                </c:pt>
                <c:pt idx="13">
                  <c:v>105</c:v>
                </c:pt>
                <c:pt idx="14">
                  <c:v>120</c:v>
                </c:pt>
                <c:pt idx="15">
                  <c:v>135</c:v>
                </c:pt>
                <c:pt idx="16">
                  <c:v>150</c:v>
                </c:pt>
                <c:pt idx="17">
                  <c:v>165</c:v>
                </c:pt>
                <c:pt idx="18">
                  <c:v>180</c:v>
                </c:pt>
                <c:pt idx="19">
                  <c:v>195</c:v>
                </c:pt>
                <c:pt idx="20">
                  <c:v>210</c:v>
                </c:pt>
                <c:pt idx="21">
                  <c:v>225</c:v>
                </c:pt>
                <c:pt idx="22">
                  <c:v>240</c:v>
                </c:pt>
              </c:numCache>
            </c:numRef>
          </c:xVal>
          <c:yVal>
            <c:numRef>
              <c:f>CBGa_bioavaliability!$C$11:$C$32</c:f>
              <c:numCache>
                <c:formatCode>0.0</c:formatCode>
                <c:ptCount val="22"/>
                <c:pt idx="0">
                  <c:v>20.262870802153223</c:v>
                </c:pt>
                <c:pt idx="1">
                  <c:v>28.677989419309021</c:v>
                </c:pt>
                <c:pt idx="2">
                  <c:v>34.372549688236091</c:v>
                </c:pt>
                <c:pt idx="3">
                  <c:v>46.73188390195056</c:v>
                </c:pt>
                <c:pt idx="4">
                  <c:v>55.376685756656961</c:v>
                </c:pt>
                <c:pt idx="5">
                  <c:v>61.712775068397796</c:v>
                </c:pt>
                <c:pt idx="6">
                  <c:v>66.151997642436214</c:v>
                </c:pt>
                <c:pt idx="7">
                  <c:v>72.947453429278269</c:v>
                </c:pt>
                <c:pt idx="8">
                  <c:v>84.051449948104064</c:v>
                </c:pt>
                <c:pt idx="9">
                  <c:v>90.886506293144492</c:v>
                </c:pt>
                <c:pt idx="10">
                  <c:v>95.294048420624193</c:v>
                </c:pt>
                <c:pt idx="11">
                  <c:v>96.244461817385314</c:v>
                </c:pt>
                <c:pt idx="12">
                  <c:v>104.48137792264841</c:v>
                </c:pt>
                <c:pt idx="13">
                  <c:v>103.19435978120104</c:v>
                </c:pt>
                <c:pt idx="14">
                  <c:v>104.12101284304315</c:v>
                </c:pt>
                <c:pt idx="15">
                  <c:v>103.47948380022939</c:v>
                </c:pt>
                <c:pt idx="16">
                  <c:v>109.6769711582759</c:v>
                </c:pt>
                <c:pt idx="17">
                  <c:v>110.52442310372123</c:v>
                </c:pt>
                <c:pt idx="18">
                  <c:v>108.9800013339844</c:v>
                </c:pt>
                <c:pt idx="19">
                  <c:v>108.26719128641356</c:v>
                </c:pt>
                <c:pt idx="20">
                  <c:v>108.70279742659575</c:v>
                </c:pt>
                <c:pt idx="21">
                  <c:v>112.91233676308356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CEF-0B47-98F7-F144EF2AFE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5661168"/>
        <c:axId val="637784767"/>
      </c:scatterChart>
      <c:valAx>
        <c:axId val="112566116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(min)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37784767"/>
        <c:crosses val="autoZero"/>
        <c:crossBetween val="midCat"/>
      </c:valAx>
      <c:valAx>
        <c:axId val="6377847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[CBGa] (ug/mL)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25661168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scatterChart>
        <c:scatterStyle val="lineMarker"/>
        <c:varyColors val="1"/>
        <c:ser>
          <c:idx val="0"/>
          <c:order val="0"/>
          <c:tx>
            <c:v>Crystalline THCa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THCa_BA!$A$20:$A$42</c:f>
              <c:numCache>
                <c:formatCode>General</c:formatCode>
                <c:ptCount val="23"/>
                <c:pt idx="0">
                  <c:v>2.5</c:v>
                </c:pt>
                <c:pt idx="1">
                  <c:v>5</c:v>
                </c:pt>
                <c:pt idx="2">
                  <c:v>7.5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60</c:v>
                </c:pt>
                <c:pt idx="11">
                  <c:v>75</c:v>
                </c:pt>
                <c:pt idx="12">
                  <c:v>90</c:v>
                </c:pt>
                <c:pt idx="13">
                  <c:v>105</c:v>
                </c:pt>
                <c:pt idx="14">
                  <c:v>120</c:v>
                </c:pt>
                <c:pt idx="15">
                  <c:v>135</c:v>
                </c:pt>
                <c:pt idx="16">
                  <c:v>150</c:v>
                </c:pt>
                <c:pt idx="17">
                  <c:v>165</c:v>
                </c:pt>
                <c:pt idx="18">
                  <c:v>180</c:v>
                </c:pt>
                <c:pt idx="19">
                  <c:v>195</c:v>
                </c:pt>
                <c:pt idx="20">
                  <c:v>210</c:v>
                </c:pt>
                <c:pt idx="21">
                  <c:v>225</c:v>
                </c:pt>
                <c:pt idx="22">
                  <c:v>240</c:v>
                </c:pt>
              </c:numCache>
            </c:numRef>
          </c:xVal>
          <c:yVal>
            <c:numRef>
              <c:f>THCa_BA!$C$20:$C$42</c:f>
              <c:numCache>
                <c:formatCode>0.000</c:formatCode>
                <c:ptCount val="23"/>
                <c:pt idx="0">
                  <c:v>21.686</c:v>
                </c:pt>
                <c:pt idx="1">
                  <c:v>33.796999999999997</c:v>
                </c:pt>
                <c:pt idx="2">
                  <c:v>44.000999999999998</c:v>
                </c:pt>
                <c:pt idx="3">
                  <c:v>53.57</c:v>
                </c:pt>
                <c:pt idx="4">
                  <c:v>65.183000000000007</c:v>
                </c:pt>
                <c:pt idx="5">
                  <c:v>75.299000000000007</c:v>
                </c:pt>
                <c:pt idx="6">
                  <c:v>82.150999999999996</c:v>
                </c:pt>
                <c:pt idx="7">
                  <c:v>93.992999999999995</c:v>
                </c:pt>
                <c:pt idx="8">
                  <c:v>102.613</c:v>
                </c:pt>
                <c:pt idx="9">
                  <c:v>114.417</c:v>
                </c:pt>
                <c:pt idx="10">
                  <c:v>122.512</c:v>
                </c:pt>
                <c:pt idx="11">
                  <c:v>130.708</c:v>
                </c:pt>
                <c:pt idx="12">
                  <c:v>139.744</c:v>
                </c:pt>
                <c:pt idx="13">
                  <c:v>146.11500000000001</c:v>
                </c:pt>
                <c:pt idx="14">
                  <c:v>152.15600000000001</c:v>
                </c:pt>
                <c:pt idx="15">
                  <c:v>157.31399999999999</c:v>
                </c:pt>
                <c:pt idx="16">
                  <c:v>162.80699999999999</c:v>
                </c:pt>
                <c:pt idx="17">
                  <c:v>166.77799999999999</c:v>
                </c:pt>
                <c:pt idx="18">
                  <c:v>170.32599999999999</c:v>
                </c:pt>
                <c:pt idx="19">
                  <c:v>170.893</c:v>
                </c:pt>
                <c:pt idx="20">
                  <c:v>174.78899999999999</c:v>
                </c:pt>
                <c:pt idx="21">
                  <c:v>177.858</c:v>
                </c:pt>
                <c:pt idx="22">
                  <c:v>180.364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974-EF44-803B-2552D962B920}"/>
            </c:ext>
          </c:extLst>
        </c:ser>
        <c:ser>
          <c:idx val="1"/>
          <c:order val="1"/>
          <c:tx>
            <c:v>Amorphous THCa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THCa_BA!$A$20:$A$42</c:f>
              <c:numCache>
                <c:formatCode>General</c:formatCode>
                <c:ptCount val="23"/>
                <c:pt idx="0">
                  <c:v>2.5</c:v>
                </c:pt>
                <c:pt idx="1">
                  <c:v>5</c:v>
                </c:pt>
                <c:pt idx="2">
                  <c:v>7.5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60</c:v>
                </c:pt>
                <c:pt idx="11">
                  <c:v>75</c:v>
                </c:pt>
                <c:pt idx="12">
                  <c:v>90</c:v>
                </c:pt>
                <c:pt idx="13">
                  <c:v>105</c:v>
                </c:pt>
                <c:pt idx="14">
                  <c:v>120</c:v>
                </c:pt>
                <c:pt idx="15">
                  <c:v>135</c:v>
                </c:pt>
                <c:pt idx="16">
                  <c:v>150</c:v>
                </c:pt>
                <c:pt idx="17">
                  <c:v>165</c:v>
                </c:pt>
                <c:pt idx="18">
                  <c:v>180</c:v>
                </c:pt>
                <c:pt idx="19">
                  <c:v>195</c:v>
                </c:pt>
                <c:pt idx="20">
                  <c:v>210</c:v>
                </c:pt>
                <c:pt idx="21">
                  <c:v>225</c:v>
                </c:pt>
                <c:pt idx="22">
                  <c:v>240</c:v>
                </c:pt>
              </c:numCache>
            </c:numRef>
          </c:xVal>
          <c:yVal>
            <c:numRef>
              <c:f>THCa_BA!$C$54:$C$76</c:f>
              <c:numCache>
                <c:formatCode>0.000</c:formatCode>
                <c:ptCount val="23"/>
                <c:pt idx="0">
                  <c:v>26.122</c:v>
                </c:pt>
                <c:pt idx="1">
                  <c:v>43.991999999999997</c:v>
                </c:pt>
                <c:pt idx="2">
                  <c:v>59.386000000000003</c:v>
                </c:pt>
                <c:pt idx="3">
                  <c:v>69.516999999999996</c:v>
                </c:pt>
                <c:pt idx="4">
                  <c:v>87.302000000000007</c:v>
                </c:pt>
                <c:pt idx="5">
                  <c:v>98.504000000000005</c:v>
                </c:pt>
                <c:pt idx="6">
                  <c:v>110.649</c:v>
                </c:pt>
                <c:pt idx="7">
                  <c:v>121.574</c:v>
                </c:pt>
                <c:pt idx="8">
                  <c:v>134.12299999999999</c:v>
                </c:pt>
                <c:pt idx="9">
                  <c:v>144.65299999999999</c:v>
                </c:pt>
                <c:pt idx="10">
                  <c:v>150.53700000000001</c:v>
                </c:pt>
                <c:pt idx="11">
                  <c:v>163.49600000000001</c:v>
                </c:pt>
                <c:pt idx="12">
                  <c:v>169.559</c:v>
                </c:pt>
                <c:pt idx="13">
                  <c:v>178.52</c:v>
                </c:pt>
                <c:pt idx="14">
                  <c:v>181.696</c:v>
                </c:pt>
                <c:pt idx="15">
                  <c:v>186.69399999999999</c:v>
                </c:pt>
                <c:pt idx="16">
                  <c:v>191.10900000000001</c:v>
                </c:pt>
                <c:pt idx="17">
                  <c:v>196.12700000000001</c:v>
                </c:pt>
                <c:pt idx="18">
                  <c:v>198.994</c:v>
                </c:pt>
                <c:pt idx="19">
                  <c:v>199.75800000000001</c:v>
                </c:pt>
                <c:pt idx="20">
                  <c:v>201.67699999999999</c:v>
                </c:pt>
                <c:pt idx="21">
                  <c:v>205.49799999999999</c:v>
                </c:pt>
                <c:pt idx="22">
                  <c:v>213.13200000000001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974-EF44-803B-2552D962B920}"/>
            </c:ext>
          </c:extLst>
        </c:ser>
        <c:ser>
          <c:idx val="2"/>
          <c:order val="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THCa_BA!$A$20:$A$42</c:f>
              <c:numCache>
                <c:formatCode>General</c:formatCode>
                <c:ptCount val="23"/>
                <c:pt idx="0">
                  <c:v>2.5</c:v>
                </c:pt>
                <c:pt idx="1">
                  <c:v>5</c:v>
                </c:pt>
                <c:pt idx="2">
                  <c:v>7.5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60</c:v>
                </c:pt>
                <c:pt idx="11">
                  <c:v>75</c:v>
                </c:pt>
                <c:pt idx="12">
                  <c:v>90</c:v>
                </c:pt>
                <c:pt idx="13">
                  <c:v>105</c:v>
                </c:pt>
                <c:pt idx="14">
                  <c:v>120</c:v>
                </c:pt>
                <c:pt idx="15">
                  <c:v>135</c:v>
                </c:pt>
                <c:pt idx="16">
                  <c:v>150</c:v>
                </c:pt>
                <c:pt idx="17">
                  <c:v>165</c:v>
                </c:pt>
                <c:pt idx="18">
                  <c:v>180</c:v>
                </c:pt>
                <c:pt idx="19">
                  <c:v>195</c:v>
                </c:pt>
                <c:pt idx="20">
                  <c:v>210</c:v>
                </c:pt>
                <c:pt idx="21">
                  <c:v>225</c:v>
                </c:pt>
                <c:pt idx="22">
                  <c:v>240</c:v>
                </c:pt>
              </c:numCache>
            </c:numRef>
          </c:xVal>
          <c:yVal>
            <c:numRef>
              <c:f>THCa_BA!$C$84:$C$106</c:f>
              <c:numCache>
                <c:formatCode>0.000</c:formatCode>
                <c:ptCount val="23"/>
                <c:pt idx="0">
                  <c:v>23.088000000000001</c:v>
                </c:pt>
                <c:pt idx="1">
                  <c:v>31.780999999999999</c:v>
                </c:pt>
                <c:pt idx="2">
                  <c:v>38.796999999999997</c:v>
                </c:pt>
                <c:pt idx="3">
                  <c:v>45.746000000000002</c:v>
                </c:pt>
                <c:pt idx="4">
                  <c:v>56.645000000000003</c:v>
                </c:pt>
                <c:pt idx="5">
                  <c:v>63.637999999999998</c:v>
                </c:pt>
                <c:pt idx="6">
                  <c:v>74.031999999999996</c:v>
                </c:pt>
                <c:pt idx="7">
                  <c:v>77.942999999999998</c:v>
                </c:pt>
                <c:pt idx="8">
                  <c:v>81.576999999999998</c:v>
                </c:pt>
                <c:pt idx="9">
                  <c:v>90.066000000000003</c:v>
                </c:pt>
                <c:pt idx="10">
                  <c:v>97.438999999999993</c:v>
                </c:pt>
                <c:pt idx="11">
                  <c:v>99.054000000000002</c:v>
                </c:pt>
                <c:pt idx="12">
                  <c:v>112.73</c:v>
                </c:pt>
                <c:pt idx="13">
                  <c:v>126.07599999999999</c:v>
                </c:pt>
                <c:pt idx="14">
                  <c:v>130.10400000000001</c:v>
                </c:pt>
                <c:pt idx="15">
                  <c:v>131.958</c:v>
                </c:pt>
                <c:pt idx="16">
                  <c:v>137.01599999999999</c:v>
                </c:pt>
                <c:pt idx="17">
                  <c:v>138.15</c:v>
                </c:pt>
                <c:pt idx="18">
                  <c:v>144.446</c:v>
                </c:pt>
                <c:pt idx="19">
                  <c:v>148.79400000000001</c:v>
                </c:pt>
                <c:pt idx="20">
                  <c:v>152.98400000000001</c:v>
                </c:pt>
                <c:pt idx="21">
                  <c:v>154.94999999999999</c:v>
                </c:pt>
                <c:pt idx="22">
                  <c:v>157.57900000000001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974-EF44-803B-2552D962B9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3617957"/>
        <c:axId val="786160609"/>
      </c:scatterChart>
      <c:valAx>
        <c:axId val="118361795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86160609"/>
        <c:crosses val="autoZero"/>
        <c:crossBetween val="midCat"/>
      </c:valAx>
      <c:valAx>
        <c:axId val="7861606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83617957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scatterChart>
        <c:scatterStyle val="lineMarker"/>
        <c:varyColors val="1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THCa_BA!$A$20:$A$42</c:f>
              <c:numCache>
                <c:formatCode>General</c:formatCode>
                <c:ptCount val="23"/>
                <c:pt idx="0">
                  <c:v>2.5</c:v>
                </c:pt>
                <c:pt idx="1">
                  <c:v>5</c:v>
                </c:pt>
                <c:pt idx="2">
                  <c:v>7.5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60</c:v>
                </c:pt>
                <c:pt idx="11">
                  <c:v>75</c:v>
                </c:pt>
                <c:pt idx="12">
                  <c:v>90</c:v>
                </c:pt>
                <c:pt idx="13">
                  <c:v>105</c:v>
                </c:pt>
                <c:pt idx="14">
                  <c:v>120</c:v>
                </c:pt>
                <c:pt idx="15">
                  <c:v>135</c:v>
                </c:pt>
                <c:pt idx="16">
                  <c:v>150</c:v>
                </c:pt>
                <c:pt idx="17">
                  <c:v>165</c:v>
                </c:pt>
                <c:pt idx="18">
                  <c:v>180</c:v>
                </c:pt>
                <c:pt idx="19">
                  <c:v>195</c:v>
                </c:pt>
                <c:pt idx="20">
                  <c:v>210</c:v>
                </c:pt>
                <c:pt idx="21">
                  <c:v>225</c:v>
                </c:pt>
                <c:pt idx="22">
                  <c:v>240</c:v>
                </c:pt>
              </c:numCache>
            </c:numRef>
          </c:xVal>
          <c:yVal>
            <c:numRef>
              <c:f>THCa_BA!$E$20:$E$42</c:f>
              <c:numCache>
                <c:formatCode>General</c:formatCode>
                <c:ptCount val="23"/>
                <c:pt idx="0">
                  <c:v>4.2560000000000002</c:v>
                </c:pt>
                <c:pt idx="1">
                  <c:v>4.1589999999999998</c:v>
                </c:pt>
                <c:pt idx="2">
                  <c:v>6.3579999999999997</c:v>
                </c:pt>
                <c:pt idx="3">
                  <c:v>7.9690000000000003</c:v>
                </c:pt>
                <c:pt idx="4">
                  <c:v>12.462</c:v>
                </c:pt>
                <c:pt idx="5">
                  <c:v>17.042999999999999</c:v>
                </c:pt>
                <c:pt idx="6">
                  <c:v>17.151</c:v>
                </c:pt>
                <c:pt idx="7">
                  <c:v>21.204000000000001</c:v>
                </c:pt>
                <c:pt idx="8">
                  <c:v>24.835999999999999</c:v>
                </c:pt>
                <c:pt idx="9">
                  <c:v>26.954999999999998</c:v>
                </c:pt>
                <c:pt idx="10">
                  <c:v>30.808</c:v>
                </c:pt>
                <c:pt idx="11">
                  <c:v>37.219000000000001</c:v>
                </c:pt>
                <c:pt idx="12">
                  <c:v>44.74</c:v>
                </c:pt>
                <c:pt idx="13">
                  <c:v>48.64</c:v>
                </c:pt>
                <c:pt idx="14">
                  <c:v>54.393000000000001</c:v>
                </c:pt>
                <c:pt idx="15">
                  <c:v>59.975000000000001</c:v>
                </c:pt>
                <c:pt idx="16">
                  <c:v>65.878</c:v>
                </c:pt>
                <c:pt idx="17">
                  <c:v>69.180000000000007</c:v>
                </c:pt>
                <c:pt idx="18">
                  <c:v>74.162000000000006</c:v>
                </c:pt>
                <c:pt idx="19">
                  <c:v>78.731999999999999</c:v>
                </c:pt>
                <c:pt idx="20">
                  <c:v>82.081999999999994</c:v>
                </c:pt>
                <c:pt idx="21">
                  <c:v>88.64</c:v>
                </c:pt>
                <c:pt idx="22">
                  <c:v>88.853999999999999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8BC-4D4E-92F7-06CA35A54F6F}"/>
            </c:ext>
          </c:extLst>
        </c:ser>
        <c:ser>
          <c:idx val="1"/>
          <c:order val="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THCa_BA!$A$20:$A$42</c:f>
              <c:numCache>
                <c:formatCode>General</c:formatCode>
                <c:ptCount val="23"/>
                <c:pt idx="0">
                  <c:v>2.5</c:v>
                </c:pt>
                <c:pt idx="1">
                  <c:v>5</c:v>
                </c:pt>
                <c:pt idx="2">
                  <c:v>7.5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60</c:v>
                </c:pt>
                <c:pt idx="11">
                  <c:v>75</c:v>
                </c:pt>
                <c:pt idx="12">
                  <c:v>90</c:v>
                </c:pt>
                <c:pt idx="13">
                  <c:v>105</c:v>
                </c:pt>
                <c:pt idx="14">
                  <c:v>120</c:v>
                </c:pt>
                <c:pt idx="15">
                  <c:v>135</c:v>
                </c:pt>
                <c:pt idx="16">
                  <c:v>150</c:v>
                </c:pt>
                <c:pt idx="17">
                  <c:v>165</c:v>
                </c:pt>
                <c:pt idx="18">
                  <c:v>180</c:v>
                </c:pt>
                <c:pt idx="19">
                  <c:v>195</c:v>
                </c:pt>
                <c:pt idx="20">
                  <c:v>210</c:v>
                </c:pt>
                <c:pt idx="21">
                  <c:v>225</c:v>
                </c:pt>
                <c:pt idx="22">
                  <c:v>240</c:v>
                </c:pt>
              </c:numCache>
            </c:numRef>
          </c:xVal>
          <c:yVal>
            <c:numRef>
              <c:f>THCa_BA!$C$20:$C$42</c:f>
              <c:numCache>
                <c:formatCode>0.000</c:formatCode>
                <c:ptCount val="23"/>
                <c:pt idx="0">
                  <c:v>21.686</c:v>
                </c:pt>
                <c:pt idx="1">
                  <c:v>33.796999999999997</c:v>
                </c:pt>
                <c:pt idx="2">
                  <c:v>44.000999999999998</c:v>
                </c:pt>
                <c:pt idx="3">
                  <c:v>53.57</c:v>
                </c:pt>
                <c:pt idx="4">
                  <c:v>65.183000000000007</c:v>
                </c:pt>
                <c:pt idx="5">
                  <c:v>75.299000000000007</c:v>
                </c:pt>
                <c:pt idx="6">
                  <c:v>82.150999999999996</c:v>
                </c:pt>
                <c:pt idx="7">
                  <c:v>93.992999999999995</c:v>
                </c:pt>
                <c:pt idx="8">
                  <c:v>102.613</c:v>
                </c:pt>
                <c:pt idx="9">
                  <c:v>114.417</c:v>
                </c:pt>
                <c:pt idx="10">
                  <c:v>122.512</c:v>
                </c:pt>
                <c:pt idx="11">
                  <c:v>130.708</c:v>
                </c:pt>
                <c:pt idx="12">
                  <c:v>139.744</c:v>
                </c:pt>
                <c:pt idx="13">
                  <c:v>146.11500000000001</c:v>
                </c:pt>
                <c:pt idx="14">
                  <c:v>152.15600000000001</c:v>
                </c:pt>
                <c:pt idx="15">
                  <c:v>157.31399999999999</c:v>
                </c:pt>
                <c:pt idx="16">
                  <c:v>162.80699999999999</c:v>
                </c:pt>
                <c:pt idx="17">
                  <c:v>166.77799999999999</c:v>
                </c:pt>
                <c:pt idx="18">
                  <c:v>170.32599999999999</c:v>
                </c:pt>
                <c:pt idx="19">
                  <c:v>170.893</c:v>
                </c:pt>
                <c:pt idx="20">
                  <c:v>174.78899999999999</c:v>
                </c:pt>
                <c:pt idx="21">
                  <c:v>177.858</c:v>
                </c:pt>
                <c:pt idx="22">
                  <c:v>180.364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8BC-4D4E-92F7-06CA35A54F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7040874"/>
        <c:axId val="1866635421"/>
      </c:scatterChart>
      <c:valAx>
        <c:axId val="34704087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66635421"/>
        <c:crosses val="autoZero"/>
        <c:crossBetween val="midCat"/>
      </c:valAx>
      <c:valAx>
        <c:axId val="18666354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47040874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Run 2: 0.2524g 2:8 ASD  + 0.1511g firmapress exciipient... total tablet weight after press: /Time (min) and Run 2: 0.2524g 2:8 ASD  + 0.1511g firmapress exciipient... total tablet weight after press: /[THCa] (ng/ul) HPLC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THCa_BA!$C$112:$C$115</c:f>
              <c:strCache>
                <c:ptCount val="4"/>
                <c:pt idx="0">
                  <c:v>[THCa] (ng/ul) HPLC</c:v>
                </c:pt>
                <c:pt idx="1">
                  <c:v>4.669</c:v>
                </c:pt>
                <c:pt idx="2">
                  <c:v>9.292</c:v>
                </c:pt>
                <c:pt idx="3">
                  <c:v>12.503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strRef>
              <c:f>THCa_BA!$A$112:$A$135</c:f>
              <c:strCache>
                <c:ptCount val="24"/>
                <c:pt idx="0">
                  <c:v>Time (min)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40</c:v>
                </c:pt>
                <c:pt idx="10">
                  <c:v>50</c:v>
                </c:pt>
                <c:pt idx="11">
                  <c:v>60</c:v>
                </c:pt>
                <c:pt idx="12">
                  <c:v>75</c:v>
                </c:pt>
                <c:pt idx="13">
                  <c:v>90</c:v>
                </c:pt>
                <c:pt idx="14">
                  <c:v>105</c:v>
                </c:pt>
                <c:pt idx="15">
                  <c:v>120</c:v>
                </c:pt>
                <c:pt idx="16">
                  <c:v>135</c:v>
                </c:pt>
                <c:pt idx="17">
                  <c:v>150</c:v>
                </c:pt>
                <c:pt idx="18">
                  <c:v>165</c:v>
                </c:pt>
                <c:pt idx="19">
                  <c:v>180</c:v>
                </c:pt>
                <c:pt idx="20">
                  <c:v>195</c:v>
                </c:pt>
                <c:pt idx="21">
                  <c:v>210</c:v>
                </c:pt>
                <c:pt idx="22">
                  <c:v>225</c:v>
                </c:pt>
                <c:pt idx="23">
                  <c:v>240</c:v>
                </c:pt>
              </c:strCache>
            </c:strRef>
          </c:xVal>
          <c:yVal>
            <c:numRef>
              <c:f>THCa_BA!$C$116:$C$135</c:f>
              <c:numCache>
                <c:formatCode>General</c:formatCode>
                <c:ptCount val="20"/>
                <c:pt idx="0">
                  <c:v>14.597</c:v>
                </c:pt>
                <c:pt idx="1">
                  <c:v>19.754000000000001</c:v>
                </c:pt>
                <c:pt idx="2">
                  <c:v>24.08</c:v>
                </c:pt>
                <c:pt idx="3">
                  <c:v>29.344999999999999</c:v>
                </c:pt>
                <c:pt idx="4">
                  <c:v>33.557000000000002</c:v>
                </c:pt>
                <c:pt idx="5">
                  <c:v>43.323</c:v>
                </c:pt>
                <c:pt idx="6">
                  <c:v>51.307000000000002</c:v>
                </c:pt>
                <c:pt idx="7">
                  <c:v>58.323</c:v>
                </c:pt>
                <c:pt idx="8">
                  <c:v>72.849999999999994</c:v>
                </c:pt>
                <c:pt idx="9">
                  <c:v>85.587000000000003</c:v>
                </c:pt>
                <c:pt idx="10">
                  <c:v>97.024000000000001</c:v>
                </c:pt>
                <c:pt idx="11">
                  <c:v>106.96899999999999</c:v>
                </c:pt>
                <c:pt idx="12">
                  <c:v>110.889</c:v>
                </c:pt>
                <c:pt idx="13">
                  <c:v>126.04600000000001</c:v>
                </c:pt>
                <c:pt idx="14">
                  <c:v>132.96799999999999</c:v>
                </c:pt>
                <c:pt idx="15">
                  <c:v>139.15100000000001</c:v>
                </c:pt>
                <c:pt idx="16">
                  <c:v>148.53700000000001</c:v>
                </c:pt>
                <c:pt idx="17">
                  <c:v>152.101</c:v>
                </c:pt>
                <c:pt idx="18">
                  <c:v>155.06200000000001</c:v>
                </c:pt>
                <c:pt idx="19">
                  <c:v>163.773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D05-2A48-BBC5-8487AB90FDBB}"/>
            </c:ext>
          </c:extLst>
        </c:ser>
        <c:ser>
          <c:idx val="1"/>
          <c:order val="1"/>
          <c:tx>
            <c:strRef>
              <c:f>THCa_BA!$E$112:$E$115</c:f>
              <c:strCache>
                <c:ptCount val="4"/>
                <c:pt idx="0">
                  <c:v>[THCa] (ng/ul) HPLC</c:v>
                </c:pt>
                <c:pt idx="1">
                  <c:v>4.244</c:v>
                </c:pt>
                <c:pt idx="2">
                  <c:v>6.765</c:v>
                </c:pt>
                <c:pt idx="3">
                  <c:v>8.803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strRef>
              <c:f>THCa_BA!$A$112:$A$135</c:f>
              <c:strCache>
                <c:ptCount val="24"/>
                <c:pt idx="0">
                  <c:v>Time (min)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40</c:v>
                </c:pt>
                <c:pt idx="10">
                  <c:v>50</c:v>
                </c:pt>
                <c:pt idx="11">
                  <c:v>60</c:v>
                </c:pt>
                <c:pt idx="12">
                  <c:v>75</c:v>
                </c:pt>
                <c:pt idx="13">
                  <c:v>90</c:v>
                </c:pt>
                <c:pt idx="14">
                  <c:v>105</c:v>
                </c:pt>
                <c:pt idx="15">
                  <c:v>120</c:v>
                </c:pt>
                <c:pt idx="16">
                  <c:v>135</c:v>
                </c:pt>
                <c:pt idx="17">
                  <c:v>150</c:v>
                </c:pt>
                <c:pt idx="18">
                  <c:v>165</c:v>
                </c:pt>
                <c:pt idx="19">
                  <c:v>180</c:v>
                </c:pt>
                <c:pt idx="20">
                  <c:v>195</c:v>
                </c:pt>
                <c:pt idx="21">
                  <c:v>210</c:v>
                </c:pt>
                <c:pt idx="22">
                  <c:v>225</c:v>
                </c:pt>
                <c:pt idx="23">
                  <c:v>240</c:v>
                </c:pt>
              </c:strCache>
            </c:strRef>
          </c:xVal>
          <c:yVal>
            <c:numRef>
              <c:f>THCa_BA!$E$116:$E$135</c:f>
              <c:numCache>
                <c:formatCode>General</c:formatCode>
                <c:ptCount val="20"/>
                <c:pt idx="0">
                  <c:v>12.241</c:v>
                </c:pt>
                <c:pt idx="1">
                  <c:v>18.472000000000001</c:v>
                </c:pt>
                <c:pt idx="2">
                  <c:v>25.145</c:v>
                </c:pt>
                <c:pt idx="3">
                  <c:v>31.099</c:v>
                </c:pt>
                <c:pt idx="4">
                  <c:v>37.78</c:v>
                </c:pt>
                <c:pt idx="5">
                  <c:v>46.767000000000003</c:v>
                </c:pt>
                <c:pt idx="6">
                  <c:v>59.164000000000001</c:v>
                </c:pt>
                <c:pt idx="7">
                  <c:v>66.971999999999994</c:v>
                </c:pt>
                <c:pt idx="8">
                  <c:v>79.337000000000003</c:v>
                </c:pt>
                <c:pt idx="9">
                  <c:v>89.631</c:v>
                </c:pt>
                <c:pt idx="10">
                  <c:v>100.187</c:v>
                </c:pt>
                <c:pt idx="11">
                  <c:v>108.104</c:v>
                </c:pt>
                <c:pt idx="12">
                  <c:v>118.456</c:v>
                </c:pt>
                <c:pt idx="13">
                  <c:v>125.86199999999999</c:v>
                </c:pt>
                <c:pt idx="14">
                  <c:v>132.982</c:v>
                </c:pt>
                <c:pt idx="15">
                  <c:v>138.68100000000001</c:v>
                </c:pt>
                <c:pt idx="16">
                  <c:v>147.21199999999999</c:v>
                </c:pt>
                <c:pt idx="17">
                  <c:v>155.40299999999999</c:v>
                </c:pt>
                <c:pt idx="18">
                  <c:v>160.292</c:v>
                </c:pt>
                <c:pt idx="19">
                  <c:v>166.24299999999999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D05-2A48-BBC5-8487AB90FDBB}"/>
            </c:ext>
          </c:extLst>
        </c:ser>
        <c:ser>
          <c:idx val="2"/>
          <c:order val="2"/>
          <c:tx>
            <c:strRef>
              <c:f>THCa_BA!$G$112:$G$115</c:f>
              <c:strCache>
                <c:ptCount val="4"/>
                <c:pt idx="0">
                  <c:v>[THCa] (ng/ul) HPLC</c:v>
                </c:pt>
                <c:pt idx="1">
                  <c:v>6.062</c:v>
                </c:pt>
                <c:pt idx="2">
                  <c:v>5.423</c:v>
                </c:pt>
                <c:pt idx="3">
                  <c:v>9.574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strRef>
              <c:f>THCa_BA!$A$112:$A$135</c:f>
              <c:strCache>
                <c:ptCount val="24"/>
                <c:pt idx="0">
                  <c:v>Time (min)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40</c:v>
                </c:pt>
                <c:pt idx="10">
                  <c:v>50</c:v>
                </c:pt>
                <c:pt idx="11">
                  <c:v>60</c:v>
                </c:pt>
                <c:pt idx="12">
                  <c:v>75</c:v>
                </c:pt>
                <c:pt idx="13">
                  <c:v>90</c:v>
                </c:pt>
                <c:pt idx="14">
                  <c:v>105</c:v>
                </c:pt>
                <c:pt idx="15">
                  <c:v>120</c:v>
                </c:pt>
                <c:pt idx="16">
                  <c:v>135</c:v>
                </c:pt>
                <c:pt idx="17">
                  <c:v>150</c:v>
                </c:pt>
                <c:pt idx="18">
                  <c:v>165</c:v>
                </c:pt>
                <c:pt idx="19">
                  <c:v>180</c:v>
                </c:pt>
                <c:pt idx="20">
                  <c:v>195</c:v>
                </c:pt>
                <c:pt idx="21">
                  <c:v>210</c:v>
                </c:pt>
                <c:pt idx="22">
                  <c:v>225</c:v>
                </c:pt>
                <c:pt idx="23">
                  <c:v>240</c:v>
                </c:pt>
              </c:strCache>
            </c:strRef>
          </c:xVal>
          <c:yVal>
            <c:numRef>
              <c:f>THCa_BA!$G$116:$G$135</c:f>
              <c:numCache>
                <c:formatCode>General</c:formatCode>
                <c:ptCount val="20"/>
                <c:pt idx="0">
                  <c:v>11.97</c:v>
                </c:pt>
                <c:pt idx="1">
                  <c:v>16.428000000000001</c:v>
                </c:pt>
                <c:pt idx="2">
                  <c:v>19.806999999999999</c:v>
                </c:pt>
                <c:pt idx="3">
                  <c:v>22.747</c:v>
                </c:pt>
                <c:pt idx="4">
                  <c:v>25.228999999999999</c:v>
                </c:pt>
                <c:pt idx="5">
                  <c:v>31.116</c:v>
                </c:pt>
                <c:pt idx="6">
                  <c:v>35.837000000000003</c:v>
                </c:pt>
                <c:pt idx="7">
                  <c:v>40.753999999999998</c:v>
                </c:pt>
                <c:pt idx="8">
                  <c:v>47.811</c:v>
                </c:pt>
                <c:pt idx="9">
                  <c:v>54.524999999999999</c:v>
                </c:pt>
                <c:pt idx="10">
                  <c:v>62.381</c:v>
                </c:pt>
                <c:pt idx="11">
                  <c:v>68.929000000000002</c:v>
                </c:pt>
                <c:pt idx="12">
                  <c:v>75.292000000000002</c:v>
                </c:pt>
                <c:pt idx="13">
                  <c:v>83.388999999999996</c:v>
                </c:pt>
                <c:pt idx="14">
                  <c:v>87.989000000000004</c:v>
                </c:pt>
                <c:pt idx="15">
                  <c:v>95.992000000000004</c:v>
                </c:pt>
                <c:pt idx="16">
                  <c:v>103.038</c:v>
                </c:pt>
                <c:pt idx="17">
                  <c:v>107.67100000000001</c:v>
                </c:pt>
                <c:pt idx="18">
                  <c:v>115.56399999999999</c:v>
                </c:pt>
                <c:pt idx="19">
                  <c:v>125.53100000000001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D05-2A48-BBC5-8487AB90F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5946937"/>
        <c:axId val="1285760589"/>
      </c:scatterChart>
      <c:valAx>
        <c:axId val="123594693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85760589"/>
        <c:crosses val="autoZero"/>
        <c:crossBetween val="midCat"/>
      </c:valAx>
      <c:valAx>
        <c:axId val="12857605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35946937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Time (min) and THCa Peak Area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THCa_BA!$E$145</c:f>
              <c:strCache>
                <c:ptCount val="1"/>
                <c:pt idx="0">
                  <c:v>[THCa] (ng/ul) HPLC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THCa_BA!$A$146:$A$168</c:f>
              <c:numCache>
                <c:formatCode>General</c:formatCode>
                <c:ptCount val="23"/>
                <c:pt idx="0">
                  <c:v>2.5</c:v>
                </c:pt>
                <c:pt idx="1">
                  <c:v>5</c:v>
                </c:pt>
                <c:pt idx="2">
                  <c:v>7.5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60</c:v>
                </c:pt>
                <c:pt idx="11">
                  <c:v>75</c:v>
                </c:pt>
                <c:pt idx="12">
                  <c:v>90</c:v>
                </c:pt>
                <c:pt idx="13">
                  <c:v>105</c:v>
                </c:pt>
                <c:pt idx="14">
                  <c:v>120</c:v>
                </c:pt>
                <c:pt idx="15">
                  <c:v>135</c:v>
                </c:pt>
                <c:pt idx="16">
                  <c:v>150</c:v>
                </c:pt>
                <c:pt idx="17">
                  <c:v>165</c:v>
                </c:pt>
                <c:pt idx="18">
                  <c:v>180</c:v>
                </c:pt>
                <c:pt idx="19">
                  <c:v>195</c:v>
                </c:pt>
                <c:pt idx="20">
                  <c:v>210</c:v>
                </c:pt>
                <c:pt idx="21">
                  <c:v>225</c:v>
                </c:pt>
                <c:pt idx="22">
                  <c:v>240</c:v>
                </c:pt>
              </c:numCache>
            </c:numRef>
          </c:xVal>
          <c:yVal>
            <c:numRef>
              <c:f>THCa_BA!$E$146:$E$168</c:f>
              <c:numCache>
                <c:formatCode>General</c:formatCode>
                <c:ptCount val="23"/>
                <c:pt idx="0">
                  <c:v>27.489000000000001</c:v>
                </c:pt>
                <c:pt idx="1">
                  <c:v>31.463999999999999</c:v>
                </c:pt>
                <c:pt idx="2">
                  <c:v>37.652000000000001</c:v>
                </c:pt>
                <c:pt idx="3">
                  <c:v>43.639000000000003</c:v>
                </c:pt>
                <c:pt idx="4">
                  <c:v>49.719000000000001</c:v>
                </c:pt>
                <c:pt idx="5">
                  <c:v>53.643999999999998</c:v>
                </c:pt>
                <c:pt idx="6">
                  <c:v>58.783000000000001</c:v>
                </c:pt>
                <c:pt idx="7">
                  <c:v>62.731999999999999</c:v>
                </c:pt>
                <c:pt idx="8">
                  <c:v>69.605000000000004</c:v>
                </c:pt>
                <c:pt idx="9">
                  <c:v>77.373000000000005</c:v>
                </c:pt>
                <c:pt idx="10">
                  <c:v>81.959000000000003</c:v>
                </c:pt>
                <c:pt idx="11">
                  <c:v>85.043999999999997</c:v>
                </c:pt>
                <c:pt idx="12">
                  <c:v>92.010999999999996</c:v>
                </c:pt>
                <c:pt idx="13">
                  <c:v>95.831000000000003</c:v>
                </c:pt>
                <c:pt idx="14">
                  <c:v>107.877</c:v>
                </c:pt>
                <c:pt idx="15">
                  <c:v>110.64</c:v>
                </c:pt>
                <c:pt idx="16">
                  <c:v>118.785</c:v>
                </c:pt>
                <c:pt idx="17">
                  <c:v>122.506</c:v>
                </c:pt>
                <c:pt idx="18">
                  <c:v>125.723</c:v>
                </c:pt>
                <c:pt idx="19">
                  <c:v>129.55099999999999</c:v>
                </c:pt>
                <c:pt idx="20">
                  <c:v>135.28100000000001</c:v>
                </c:pt>
                <c:pt idx="21">
                  <c:v>138.11099999999999</c:v>
                </c:pt>
                <c:pt idx="22">
                  <c:v>143.196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4C-2144-AABE-89BE02BDD077}"/>
            </c:ext>
          </c:extLst>
        </c:ser>
        <c:ser>
          <c:idx val="1"/>
          <c:order val="1"/>
          <c:tx>
            <c:strRef>
              <c:f>THCa_BA!$C$145</c:f>
              <c:strCache>
                <c:ptCount val="1"/>
                <c:pt idx="0">
                  <c:v>[THCa] (ng/ul) HPLC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THCa_BA!$A$146:$A$168</c:f>
              <c:numCache>
                <c:formatCode>General</c:formatCode>
                <c:ptCount val="23"/>
                <c:pt idx="0">
                  <c:v>2.5</c:v>
                </c:pt>
                <c:pt idx="1">
                  <c:v>5</c:v>
                </c:pt>
                <c:pt idx="2">
                  <c:v>7.5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60</c:v>
                </c:pt>
                <c:pt idx="11">
                  <c:v>75</c:v>
                </c:pt>
                <c:pt idx="12">
                  <c:v>90</c:v>
                </c:pt>
                <c:pt idx="13">
                  <c:v>105</c:v>
                </c:pt>
                <c:pt idx="14">
                  <c:v>120</c:v>
                </c:pt>
                <c:pt idx="15">
                  <c:v>135</c:v>
                </c:pt>
                <c:pt idx="16">
                  <c:v>150</c:v>
                </c:pt>
                <c:pt idx="17">
                  <c:v>165</c:v>
                </c:pt>
                <c:pt idx="18">
                  <c:v>180</c:v>
                </c:pt>
                <c:pt idx="19">
                  <c:v>195</c:v>
                </c:pt>
                <c:pt idx="20">
                  <c:v>210</c:v>
                </c:pt>
                <c:pt idx="21">
                  <c:v>225</c:v>
                </c:pt>
                <c:pt idx="22">
                  <c:v>240</c:v>
                </c:pt>
              </c:numCache>
            </c:numRef>
          </c:xVal>
          <c:yVal>
            <c:numRef>
              <c:f>THCa_BA!$C$146:$C$168</c:f>
              <c:numCache>
                <c:formatCode>General</c:formatCode>
                <c:ptCount val="23"/>
                <c:pt idx="0">
                  <c:v>27.266999999999999</c:v>
                </c:pt>
                <c:pt idx="1">
                  <c:v>34.911000000000001</c:v>
                </c:pt>
                <c:pt idx="2">
                  <c:v>43.863999999999997</c:v>
                </c:pt>
                <c:pt idx="3">
                  <c:v>47.735999999999997</c:v>
                </c:pt>
                <c:pt idx="4">
                  <c:v>56.146999999999998</c:v>
                </c:pt>
                <c:pt idx="5">
                  <c:v>63.875</c:v>
                </c:pt>
                <c:pt idx="6">
                  <c:v>70.97</c:v>
                </c:pt>
                <c:pt idx="7">
                  <c:v>76.260999999999996</c:v>
                </c:pt>
                <c:pt idx="8">
                  <c:v>85.67</c:v>
                </c:pt>
                <c:pt idx="9">
                  <c:v>92.12</c:v>
                </c:pt>
                <c:pt idx="10">
                  <c:v>99.85</c:v>
                </c:pt>
                <c:pt idx="11">
                  <c:v>106.01300000000001</c:v>
                </c:pt>
                <c:pt idx="12">
                  <c:v>114.151</c:v>
                </c:pt>
                <c:pt idx="13">
                  <c:v>119.877</c:v>
                </c:pt>
                <c:pt idx="14">
                  <c:v>127.68</c:v>
                </c:pt>
                <c:pt idx="15">
                  <c:v>131.733</c:v>
                </c:pt>
                <c:pt idx="16">
                  <c:v>133.06399999999999</c:v>
                </c:pt>
                <c:pt idx="17">
                  <c:v>140.047</c:v>
                </c:pt>
                <c:pt idx="18">
                  <c:v>145.81100000000001</c:v>
                </c:pt>
                <c:pt idx="19">
                  <c:v>149.66999999999999</c:v>
                </c:pt>
                <c:pt idx="20">
                  <c:v>152.22200000000001</c:v>
                </c:pt>
                <c:pt idx="21">
                  <c:v>155.33099999999999</c:v>
                </c:pt>
                <c:pt idx="22">
                  <c:v>157.995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4C-2144-AABE-89BE02BDD077}"/>
            </c:ext>
          </c:extLst>
        </c:ser>
        <c:ser>
          <c:idx val="2"/>
          <c:order val="2"/>
          <c:tx>
            <c:strRef>
              <c:f>THCa_BA!$G$145</c:f>
              <c:strCache>
                <c:ptCount val="1"/>
                <c:pt idx="0">
                  <c:v>[THCa] (ng/ul) HPLC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THCa_BA!$A$146:$A$168</c:f>
              <c:numCache>
                <c:formatCode>General</c:formatCode>
                <c:ptCount val="23"/>
                <c:pt idx="0">
                  <c:v>2.5</c:v>
                </c:pt>
                <c:pt idx="1">
                  <c:v>5</c:v>
                </c:pt>
                <c:pt idx="2">
                  <c:v>7.5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60</c:v>
                </c:pt>
                <c:pt idx="11">
                  <c:v>75</c:v>
                </c:pt>
                <c:pt idx="12">
                  <c:v>90</c:v>
                </c:pt>
                <c:pt idx="13">
                  <c:v>105</c:v>
                </c:pt>
                <c:pt idx="14">
                  <c:v>120</c:v>
                </c:pt>
                <c:pt idx="15">
                  <c:v>135</c:v>
                </c:pt>
                <c:pt idx="16">
                  <c:v>150</c:v>
                </c:pt>
                <c:pt idx="17">
                  <c:v>165</c:v>
                </c:pt>
                <c:pt idx="18">
                  <c:v>180</c:v>
                </c:pt>
                <c:pt idx="19">
                  <c:v>195</c:v>
                </c:pt>
                <c:pt idx="20">
                  <c:v>210</c:v>
                </c:pt>
                <c:pt idx="21">
                  <c:v>225</c:v>
                </c:pt>
                <c:pt idx="22">
                  <c:v>240</c:v>
                </c:pt>
              </c:numCache>
            </c:numRef>
          </c:xVal>
          <c:yVal>
            <c:numRef>
              <c:f>THCa_BA!$G$146:$G$168</c:f>
              <c:numCache>
                <c:formatCode>General</c:formatCode>
                <c:ptCount val="23"/>
                <c:pt idx="0">
                  <c:v>34.954000000000001</c:v>
                </c:pt>
                <c:pt idx="1">
                  <c:v>41.567999999999998</c:v>
                </c:pt>
                <c:pt idx="2">
                  <c:v>49.23</c:v>
                </c:pt>
                <c:pt idx="3">
                  <c:v>54.189</c:v>
                </c:pt>
                <c:pt idx="4">
                  <c:v>61.936999999999998</c:v>
                </c:pt>
                <c:pt idx="5">
                  <c:v>71.117999999999995</c:v>
                </c:pt>
                <c:pt idx="6">
                  <c:v>76.475999999999999</c:v>
                </c:pt>
                <c:pt idx="7">
                  <c:v>81.090999999999994</c:v>
                </c:pt>
                <c:pt idx="8">
                  <c:v>90.082999999999998</c:v>
                </c:pt>
                <c:pt idx="9">
                  <c:v>97.807000000000002</c:v>
                </c:pt>
                <c:pt idx="10">
                  <c:v>102.56100000000001</c:v>
                </c:pt>
                <c:pt idx="11">
                  <c:v>113.51600000000001</c:v>
                </c:pt>
                <c:pt idx="12">
                  <c:v>121.226</c:v>
                </c:pt>
                <c:pt idx="13">
                  <c:v>127.68</c:v>
                </c:pt>
                <c:pt idx="14">
                  <c:v>133.875</c:v>
                </c:pt>
                <c:pt idx="15">
                  <c:v>138.26</c:v>
                </c:pt>
                <c:pt idx="16">
                  <c:v>144.22900000000001</c:v>
                </c:pt>
                <c:pt idx="17">
                  <c:v>150.44200000000001</c:v>
                </c:pt>
                <c:pt idx="18">
                  <c:v>154.661</c:v>
                </c:pt>
                <c:pt idx="19">
                  <c:v>160.22999999999999</c:v>
                </c:pt>
                <c:pt idx="20">
                  <c:v>164.78</c:v>
                </c:pt>
                <c:pt idx="21">
                  <c:v>168.892</c:v>
                </c:pt>
                <c:pt idx="22">
                  <c:v>173.452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64C-2144-AABE-89BE02BDD0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4548478"/>
        <c:axId val="1188587883"/>
      </c:scatterChart>
      <c:valAx>
        <c:axId val="70454847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88587883"/>
        <c:crosses val="autoZero"/>
        <c:crossBetween val="midCat"/>
      </c:valAx>
      <c:valAx>
        <c:axId val="11885878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04548478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[THCa] (ng/ul) HPLC vs. Time (min)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Pure THC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THC_BA!$A$19:$A$41</c:f>
              <c:numCache>
                <c:formatCode>General</c:formatCode>
                <c:ptCount val="23"/>
                <c:pt idx="0">
                  <c:v>2.5</c:v>
                </c:pt>
                <c:pt idx="1">
                  <c:v>5</c:v>
                </c:pt>
                <c:pt idx="2">
                  <c:v>7.5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60</c:v>
                </c:pt>
                <c:pt idx="11">
                  <c:v>75</c:v>
                </c:pt>
                <c:pt idx="12">
                  <c:v>90</c:v>
                </c:pt>
                <c:pt idx="13">
                  <c:v>105</c:v>
                </c:pt>
                <c:pt idx="14">
                  <c:v>120</c:v>
                </c:pt>
                <c:pt idx="15">
                  <c:v>135</c:v>
                </c:pt>
                <c:pt idx="16">
                  <c:v>150</c:v>
                </c:pt>
                <c:pt idx="17">
                  <c:v>165</c:v>
                </c:pt>
                <c:pt idx="18">
                  <c:v>180</c:v>
                </c:pt>
                <c:pt idx="19">
                  <c:v>195</c:v>
                </c:pt>
                <c:pt idx="20">
                  <c:v>210</c:v>
                </c:pt>
                <c:pt idx="21">
                  <c:v>225</c:v>
                </c:pt>
                <c:pt idx="22">
                  <c:v>240</c:v>
                </c:pt>
              </c:numCache>
            </c:numRef>
          </c:xVal>
          <c:yVal>
            <c:numRef>
              <c:f>THC_BA!$C$19:$C$41</c:f>
              <c:numCache>
                <c:formatCode>0.000</c:formatCode>
                <c:ptCount val="23"/>
                <c:pt idx="0">
                  <c:v>3.2869999999999999</c:v>
                </c:pt>
                <c:pt idx="1">
                  <c:v>6.8380000000000001</c:v>
                </c:pt>
                <c:pt idx="2">
                  <c:v>10.167</c:v>
                </c:pt>
                <c:pt idx="3">
                  <c:v>12.683</c:v>
                </c:pt>
                <c:pt idx="4">
                  <c:v>16.765000000000001</c:v>
                </c:pt>
                <c:pt idx="5">
                  <c:v>19.489000000000001</c:v>
                </c:pt>
                <c:pt idx="6">
                  <c:v>22.585000000000001</c:v>
                </c:pt>
                <c:pt idx="7">
                  <c:v>24.521999999999998</c:v>
                </c:pt>
                <c:pt idx="8">
                  <c:v>27.77</c:v>
                </c:pt>
                <c:pt idx="9">
                  <c:v>30.443000000000001</c:v>
                </c:pt>
                <c:pt idx="10">
                  <c:v>33.164000000000001</c:v>
                </c:pt>
                <c:pt idx="11">
                  <c:v>35.854999999999997</c:v>
                </c:pt>
                <c:pt idx="12">
                  <c:v>39.607999999999997</c:v>
                </c:pt>
                <c:pt idx="13">
                  <c:v>42.796999999999997</c:v>
                </c:pt>
                <c:pt idx="14">
                  <c:v>46.631</c:v>
                </c:pt>
                <c:pt idx="15">
                  <c:v>49.085999999999999</c:v>
                </c:pt>
                <c:pt idx="16">
                  <c:v>50.997999999999998</c:v>
                </c:pt>
                <c:pt idx="17">
                  <c:v>54.29</c:v>
                </c:pt>
                <c:pt idx="18">
                  <c:v>57.534999999999997</c:v>
                </c:pt>
                <c:pt idx="19">
                  <c:v>57.518000000000001</c:v>
                </c:pt>
                <c:pt idx="20">
                  <c:v>59.807000000000002</c:v>
                </c:pt>
                <c:pt idx="21">
                  <c:v>62.921999999999997</c:v>
                </c:pt>
                <c:pt idx="22">
                  <c:v>65.33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475-1046-96FB-4740389A2A85}"/>
            </c:ext>
          </c:extLst>
        </c:ser>
        <c:ser>
          <c:idx val="1"/>
          <c:order val="1"/>
          <c:tx>
            <c:v>THC ASD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THC_BA!$A$19:$A$41</c:f>
              <c:numCache>
                <c:formatCode>General</c:formatCode>
                <c:ptCount val="23"/>
                <c:pt idx="0">
                  <c:v>2.5</c:v>
                </c:pt>
                <c:pt idx="1">
                  <c:v>5</c:v>
                </c:pt>
                <c:pt idx="2">
                  <c:v>7.5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60</c:v>
                </c:pt>
                <c:pt idx="11">
                  <c:v>75</c:v>
                </c:pt>
                <c:pt idx="12">
                  <c:v>90</c:v>
                </c:pt>
                <c:pt idx="13">
                  <c:v>105</c:v>
                </c:pt>
                <c:pt idx="14">
                  <c:v>120</c:v>
                </c:pt>
                <c:pt idx="15">
                  <c:v>135</c:v>
                </c:pt>
                <c:pt idx="16">
                  <c:v>150</c:v>
                </c:pt>
                <c:pt idx="17">
                  <c:v>165</c:v>
                </c:pt>
                <c:pt idx="18">
                  <c:v>180</c:v>
                </c:pt>
                <c:pt idx="19">
                  <c:v>195</c:v>
                </c:pt>
                <c:pt idx="20">
                  <c:v>210</c:v>
                </c:pt>
                <c:pt idx="21">
                  <c:v>225</c:v>
                </c:pt>
                <c:pt idx="22">
                  <c:v>240</c:v>
                </c:pt>
              </c:numCache>
            </c:numRef>
          </c:xVal>
          <c:yVal>
            <c:numRef>
              <c:f>THC_BA!$C$47:$C$69</c:f>
              <c:numCache>
                <c:formatCode>0.000</c:formatCode>
                <c:ptCount val="23"/>
                <c:pt idx="0">
                  <c:v>3.3690000000000002</c:v>
                </c:pt>
                <c:pt idx="1">
                  <c:v>4.375</c:v>
                </c:pt>
                <c:pt idx="2">
                  <c:v>6.59</c:v>
                </c:pt>
                <c:pt idx="3">
                  <c:v>10.193</c:v>
                </c:pt>
                <c:pt idx="4">
                  <c:v>15.58</c:v>
                </c:pt>
                <c:pt idx="5">
                  <c:v>19.731999999999999</c:v>
                </c:pt>
                <c:pt idx="6">
                  <c:v>23.161000000000001</c:v>
                </c:pt>
                <c:pt idx="7">
                  <c:v>26.643000000000001</c:v>
                </c:pt>
                <c:pt idx="8">
                  <c:v>32.642000000000003</c:v>
                </c:pt>
                <c:pt idx="9">
                  <c:v>37.679000000000002</c:v>
                </c:pt>
                <c:pt idx="10">
                  <c:v>43.673000000000002</c:v>
                </c:pt>
                <c:pt idx="11">
                  <c:v>49.107999999999997</c:v>
                </c:pt>
                <c:pt idx="12">
                  <c:v>53.000999999999998</c:v>
                </c:pt>
                <c:pt idx="13">
                  <c:v>57.73</c:v>
                </c:pt>
                <c:pt idx="14">
                  <c:v>62.136000000000003</c:v>
                </c:pt>
                <c:pt idx="15">
                  <c:v>65.606999999999999</c:v>
                </c:pt>
                <c:pt idx="16">
                  <c:v>67.760999999999996</c:v>
                </c:pt>
                <c:pt idx="17">
                  <c:v>72.337999999999994</c:v>
                </c:pt>
                <c:pt idx="18">
                  <c:v>74.671000000000006</c:v>
                </c:pt>
                <c:pt idx="19">
                  <c:v>77.263999999999996</c:v>
                </c:pt>
                <c:pt idx="20">
                  <c:v>78.775000000000006</c:v>
                </c:pt>
                <c:pt idx="21">
                  <c:v>83.007000000000005</c:v>
                </c:pt>
                <c:pt idx="22">
                  <c:v>85.977999999999994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475-1046-96FB-4740389A2A85}"/>
            </c:ext>
          </c:extLst>
        </c:ser>
        <c:ser>
          <c:idx val="2"/>
          <c:order val="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THC_BA!$A$19:$A$41</c:f>
              <c:numCache>
                <c:formatCode>General</c:formatCode>
                <c:ptCount val="23"/>
                <c:pt idx="0">
                  <c:v>2.5</c:v>
                </c:pt>
                <c:pt idx="1">
                  <c:v>5</c:v>
                </c:pt>
                <c:pt idx="2">
                  <c:v>7.5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60</c:v>
                </c:pt>
                <c:pt idx="11">
                  <c:v>75</c:v>
                </c:pt>
                <c:pt idx="12">
                  <c:v>90</c:v>
                </c:pt>
                <c:pt idx="13">
                  <c:v>105</c:v>
                </c:pt>
                <c:pt idx="14">
                  <c:v>120</c:v>
                </c:pt>
                <c:pt idx="15">
                  <c:v>135</c:v>
                </c:pt>
                <c:pt idx="16">
                  <c:v>150</c:v>
                </c:pt>
                <c:pt idx="17">
                  <c:v>165</c:v>
                </c:pt>
                <c:pt idx="18">
                  <c:v>180</c:v>
                </c:pt>
                <c:pt idx="19">
                  <c:v>195</c:v>
                </c:pt>
                <c:pt idx="20">
                  <c:v>210</c:v>
                </c:pt>
                <c:pt idx="21">
                  <c:v>225</c:v>
                </c:pt>
                <c:pt idx="22">
                  <c:v>240</c:v>
                </c:pt>
              </c:numCache>
            </c:numRef>
          </c:xVal>
          <c:yVal>
            <c:numRef>
              <c:f>THC_BA!$E$47:$E$69</c:f>
              <c:numCache>
                <c:formatCode>General</c:formatCode>
                <c:ptCount val="23"/>
                <c:pt idx="0">
                  <c:v>9.5039999999999996</c:v>
                </c:pt>
                <c:pt idx="1">
                  <c:v>13.927</c:v>
                </c:pt>
                <c:pt idx="2">
                  <c:v>16.797000000000001</c:v>
                </c:pt>
                <c:pt idx="3">
                  <c:v>20.887</c:v>
                </c:pt>
                <c:pt idx="4">
                  <c:v>25.943999999999999</c:v>
                </c:pt>
                <c:pt idx="5">
                  <c:v>30.138999999999999</c:v>
                </c:pt>
                <c:pt idx="6">
                  <c:v>34.21</c:v>
                </c:pt>
                <c:pt idx="7">
                  <c:v>36.963999999999999</c:v>
                </c:pt>
                <c:pt idx="8">
                  <c:v>41.499000000000002</c:v>
                </c:pt>
                <c:pt idx="9">
                  <c:v>46.965000000000003</c:v>
                </c:pt>
                <c:pt idx="10">
                  <c:v>48.722999999999999</c:v>
                </c:pt>
                <c:pt idx="11">
                  <c:v>53.402999999999999</c:v>
                </c:pt>
                <c:pt idx="12">
                  <c:v>57.552999999999997</c:v>
                </c:pt>
                <c:pt idx="13">
                  <c:v>60.69</c:v>
                </c:pt>
                <c:pt idx="14">
                  <c:v>63.26</c:v>
                </c:pt>
                <c:pt idx="15">
                  <c:v>67.174999999999997</c:v>
                </c:pt>
                <c:pt idx="16">
                  <c:v>69.518000000000001</c:v>
                </c:pt>
                <c:pt idx="17">
                  <c:v>73.075999999999993</c:v>
                </c:pt>
                <c:pt idx="18">
                  <c:v>75.748999999999995</c:v>
                </c:pt>
                <c:pt idx="19">
                  <c:v>78.162999999999997</c:v>
                </c:pt>
                <c:pt idx="20">
                  <c:v>78.334999999999994</c:v>
                </c:pt>
                <c:pt idx="21">
                  <c:v>83.366</c:v>
                </c:pt>
                <c:pt idx="22">
                  <c:v>85.587000000000003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475-1046-96FB-4740389A2A85}"/>
            </c:ext>
          </c:extLst>
        </c:ser>
        <c:ser>
          <c:idx val="3"/>
          <c:order val="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THC_BA!$A$19:$A$41</c:f>
              <c:numCache>
                <c:formatCode>General</c:formatCode>
                <c:ptCount val="23"/>
                <c:pt idx="0">
                  <c:v>2.5</c:v>
                </c:pt>
                <c:pt idx="1">
                  <c:v>5</c:v>
                </c:pt>
                <c:pt idx="2">
                  <c:v>7.5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60</c:v>
                </c:pt>
                <c:pt idx="11">
                  <c:v>75</c:v>
                </c:pt>
                <c:pt idx="12">
                  <c:v>90</c:v>
                </c:pt>
                <c:pt idx="13">
                  <c:v>105</c:v>
                </c:pt>
                <c:pt idx="14">
                  <c:v>120</c:v>
                </c:pt>
                <c:pt idx="15">
                  <c:v>135</c:v>
                </c:pt>
                <c:pt idx="16">
                  <c:v>150</c:v>
                </c:pt>
                <c:pt idx="17">
                  <c:v>165</c:v>
                </c:pt>
                <c:pt idx="18">
                  <c:v>180</c:v>
                </c:pt>
                <c:pt idx="19">
                  <c:v>195</c:v>
                </c:pt>
                <c:pt idx="20">
                  <c:v>210</c:v>
                </c:pt>
                <c:pt idx="21">
                  <c:v>225</c:v>
                </c:pt>
                <c:pt idx="22">
                  <c:v>240</c:v>
                </c:pt>
              </c:numCache>
            </c:numRef>
          </c:xVal>
          <c:yVal>
            <c:numRef>
              <c:f>THC_BA!$G$47:$G$69</c:f>
              <c:numCache>
                <c:formatCode>General</c:formatCode>
                <c:ptCount val="23"/>
                <c:pt idx="0">
                  <c:v>6.9880000000000004</c:v>
                </c:pt>
                <c:pt idx="1">
                  <c:v>10.686999999999999</c:v>
                </c:pt>
                <c:pt idx="2">
                  <c:v>14.026</c:v>
                </c:pt>
                <c:pt idx="3">
                  <c:v>16.704000000000001</c:v>
                </c:pt>
                <c:pt idx="4">
                  <c:v>21.661999999999999</c:v>
                </c:pt>
                <c:pt idx="5">
                  <c:v>25.459</c:v>
                </c:pt>
                <c:pt idx="6">
                  <c:v>28.725999999999999</c:v>
                </c:pt>
                <c:pt idx="7">
                  <c:v>31.664000000000001</c:v>
                </c:pt>
                <c:pt idx="8">
                  <c:v>35.869</c:v>
                </c:pt>
                <c:pt idx="9">
                  <c:v>39.713999999999999</c:v>
                </c:pt>
                <c:pt idx="10">
                  <c:v>46.45</c:v>
                </c:pt>
                <c:pt idx="11">
                  <c:v>55.406999999999996</c:v>
                </c:pt>
                <c:pt idx="12">
                  <c:v>60.765999999999998</c:v>
                </c:pt>
                <c:pt idx="13">
                  <c:v>65.52</c:v>
                </c:pt>
                <c:pt idx="14">
                  <c:v>72.849999999999994</c:v>
                </c:pt>
                <c:pt idx="15">
                  <c:v>75.688999999999993</c:v>
                </c:pt>
                <c:pt idx="16">
                  <c:v>80.120999999999995</c:v>
                </c:pt>
                <c:pt idx="17">
                  <c:v>83.76</c:v>
                </c:pt>
                <c:pt idx="18">
                  <c:v>86.650999999999996</c:v>
                </c:pt>
                <c:pt idx="19">
                  <c:v>90.361000000000004</c:v>
                </c:pt>
                <c:pt idx="20">
                  <c:v>92.460999999999999</c:v>
                </c:pt>
                <c:pt idx="21">
                  <c:v>97.46</c:v>
                </c:pt>
                <c:pt idx="22">
                  <c:v>98.480999999999995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475-1046-96FB-4740389A2A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4226684"/>
        <c:axId val="2010844387"/>
      </c:scatterChart>
      <c:valAx>
        <c:axId val="210422668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(min)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10844387"/>
        <c:crosses val="autoZero"/>
        <c:crossBetween val="midCat"/>
      </c:valAx>
      <c:valAx>
        <c:axId val="20108443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[THCa] (ng/ul) HPLC</a:t>
                </a:r>
              </a:p>
            </c:rich>
          </c:tx>
          <c:overlay val="0"/>
        </c:title>
        <c:numFmt formatCode="0.0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04226684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scatterChart>
        <c:scatterStyle val="lineMarker"/>
        <c:varyColors val="1"/>
        <c:ser>
          <c:idx val="0"/>
          <c:order val="0"/>
          <c:tx>
            <c:v>THC:PVP formulation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THC_BA!$A$47:$A$69</c:f>
              <c:numCache>
                <c:formatCode>General</c:formatCode>
                <c:ptCount val="23"/>
                <c:pt idx="0">
                  <c:v>2.5</c:v>
                </c:pt>
                <c:pt idx="1">
                  <c:v>5</c:v>
                </c:pt>
                <c:pt idx="2">
                  <c:v>7.5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60</c:v>
                </c:pt>
                <c:pt idx="11">
                  <c:v>75</c:v>
                </c:pt>
                <c:pt idx="12">
                  <c:v>90</c:v>
                </c:pt>
                <c:pt idx="13">
                  <c:v>105</c:v>
                </c:pt>
                <c:pt idx="14">
                  <c:v>120</c:v>
                </c:pt>
                <c:pt idx="15">
                  <c:v>135</c:v>
                </c:pt>
                <c:pt idx="16">
                  <c:v>150</c:v>
                </c:pt>
                <c:pt idx="17">
                  <c:v>165</c:v>
                </c:pt>
                <c:pt idx="18">
                  <c:v>180</c:v>
                </c:pt>
                <c:pt idx="19">
                  <c:v>195</c:v>
                </c:pt>
                <c:pt idx="20">
                  <c:v>210</c:v>
                </c:pt>
                <c:pt idx="21">
                  <c:v>225</c:v>
                </c:pt>
                <c:pt idx="22">
                  <c:v>240</c:v>
                </c:pt>
              </c:numCache>
            </c:numRef>
          </c:xVal>
          <c:yVal>
            <c:numRef>
              <c:f>THC_BA!$H$47:$H$69</c:f>
              <c:numCache>
                <c:formatCode>General</c:formatCode>
                <c:ptCount val="23"/>
                <c:pt idx="0">
                  <c:v>6.6203333333333338</c:v>
                </c:pt>
                <c:pt idx="1">
                  <c:v>9.6629999999999985</c:v>
                </c:pt>
                <c:pt idx="2">
                  <c:v>12.470999999999998</c:v>
                </c:pt>
                <c:pt idx="3">
                  <c:v>15.927999999999999</c:v>
                </c:pt>
                <c:pt idx="4">
                  <c:v>21.061999999999998</c:v>
                </c:pt>
                <c:pt idx="5">
                  <c:v>25.11</c:v>
                </c:pt>
                <c:pt idx="6">
                  <c:v>28.699000000000002</c:v>
                </c:pt>
                <c:pt idx="7">
                  <c:v>31.757000000000001</c:v>
                </c:pt>
                <c:pt idx="8">
                  <c:v>36.669999999999995</c:v>
                </c:pt>
                <c:pt idx="9">
                  <c:v>41.452666666666666</c:v>
                </c:pt>
                <c:pt idx="10">
                  <c:v>46.282000000000004</c:v>
                </c:pt>
                <c:pt idx="11">
                  <c:v>52.639333333333333</c:v>
                </c:pt>
                <c:pt idx="12">
                  <c:v>57.106666666666662</c:v>
                </c:pt>
                <c:pt idx="13">
                  <c:v>61.313333333333333</c:v>
                </c:pt>
                <c:pt idx="14">
                  <c:v>66.081999999999994</c:v>
                </c:pt>
                <c:pt idx="15">
                  <c:v>69.490333333333325</c:v>
                </c:pt>
                <c:pt idx="16">
                  <c:v>72.466666666666669</c:v>
                </c:pt>
                <c:pt idx="17">
                  <c:v>76.391333333333336</c:v>
                </c:pt>
                <c:pt idx="18">
                  <c:v>79.023666666666657</c:v>
                </c:pt>
                <c:pt idx="19">
                  <c:v>81.929333333333332</c:v>
                </c:pt>
                <c:pt idx="20">
                  <c:v>83.190333333333328</c:v>
                </c:pt>
                <c:pt idx="21">
                  <c:v>87.944333333333319</c:v>
                </c:pt>
                <c:pt idx="22">
                  <c:v>90.015333333333331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42C-9544-84AA-033EC651F168}"/>
            </c:ext>
          </c:extLst>
        </c:ser>
        <c:ser>
          <c:idx val="1"/>
          <c:order val="1"/>
          <c:tx>
            <c:v>THC:Gum arabic formulation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THC_BA!$A$47:$A$69</c:f>
              <c:numCache>
                <c:formatCode>General</c:formatCode>
                <c:ptCount val="23"/>
                <c:pt idx="0">
                  <c:v>2.5</c:v>
                </c:pt>
                <c:pt idx="1">
                  <c:v>5</c:v>
                </c:pt>
                <c:pt idx="2">
                  <c:v>7.5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60</c:v>
                </c:pt>
                <c:pt idx="11">
                  <c:v>75</c:v>
                </c:pt>
                <c:pt idx="12">
                  <c:v>90</c:v>
                </c:pt>
                <c:pt idx="13">
                  <c:v>105</c:v>
                </c:pt>
                <c:pt idx="14">
                  <c:v>120</c:v>
                </c:pt>
                <c:pt idx="15">
                  <c:v>135</c:v>
                </c:pt>
                <c:pt idx="16">
                  <c:v>150</c:v>
                </c:pt>
                <c:pt idx="17">
                  <c:v>165</c:v>
                </c:pt>
                <c:pt idx="18">
                  <c:v>180</c:v>
                </c:pt>
                <c:pt idx="19">
                  <c:v>195</c:v>
                </c:pt>
                <c:pt idx="20">
                  <c:v>210</c:v>
                </c:pt>
                <c:pt idx="21">
                  <c:v>225</c:v>
                </c:pt>
                <c:pt idx="22">
                  <c:v>240</c:v>
                </c:pt>
              </c:numCache>
            </c:numRef>
          </c:xVal>
          <c:yVal>
            <c:numRef>
              <c:f>THC_BA!$C$77:$C$99</c:f>
              <c:numCache>
                <c:formatCode>0.000</c:formatCode>
                <c:ptCount val="23"/>
                <c:pt idx="0">
                  <c:v>14.37</c:v>
                </c:pt>
                <c:pt idx="1">
                  <c:v>33.738</c:v>
                </c:pt>
                <c:pt idx="2">
                  <c:v>53.822000000000003</c:v>
                </c:pt>
                <c:pt idx="3">
                  <c:v>73.626000000000005</c:v>
                </c:pt>
                <c:pt idx="4">
                  <c:v>111.797</c:v>
                </c:pt>
                <c:pt idx="5">
                  <c:v>143.50399999999999</c:v>
                </c:pt>
                <c:pt idx="6">
                  <c:v>168.74700000000001</c:v>
                </c:pt>
                <c:pt idx="7">
                  <c:v>187.24299999999999</c:v>
                </c:pt>
                <c:pt idx="8">
                  <c:v>211.721</c:v>
                </c:pt>
                <c:pt idx="9">
                  <c:v>218.636</c:v>
                </c:pt>
                <c:pt idx="10">
                  <c:v>225.3</c:v>
                </c:pt>
                <c:pt idx="11">
                  <c:v>229.33699999999999</c:v>
                </c:pt>
                <c:pt idx="12">
                  <c:v>231.43899999999999</c:v>
                </c:pt>
                <c:pt idx="13">
                  <c:v>231.26599999999999</c:v>
                </c:pt>
                <c:pt idx="14">
                  <c:v>231.02799999999999</c:v>
                </c:pt>
                <c:pt idx="15">
                  <c:v>232.863</c:v>
                </c:pt>
                <c:pt idx="16">
                  <c:v>231.76599999999999</c:v>
                </c:pt>
                <c:pt idx="17">
                  <c:v>232.83699999999999</c:v>
                </c:pt>
                <c:pt idx="18">
                  <c:v>232.57</c:v>
                </c:pt>
                <c:pt idx="19">
                  <c:v>232.90100000000001</c:v>
                </c:pt>
                <c:pt idx="20">
                  <c:v>234.327</c:v>
                </c:pt>
                <c:pt idx="21">
                  <c:v>231.75700000000001</c:v>
                </c:pt>
                <c:pt idx="22">
                  <c:v>232.102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42C-9544-84AA-033EC651F168}"/>
            </c:ext>
          </c:extLst>
        </c:ser>
        <c:ser>
          <c:idx val="2"/>
          <c:order val="2"/>
          <c:tx>
            <c:v>Amorphous THC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THC_BA!$A$47:$A$69</c:f>
              <c:numCache>
                <c:formatCode>General</c:formatCode>
                <c:ptCount val="23"/>
                <c:pt idx="0">
                  <c:v>2.5</c:v>
                </c:pt>
                <c:pt idx="1">
                  <c:v>5</c:v>
                </c:pt>
                <c:pt idx="2">
                  <c:v>7.5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60</c:v>
                </c:pt>
                <c:pt idx="11">
                  <c:v>75</c:v>
                </c:pt>
                <c:pt idx="12">
                  <c:v>90</c:v>
                </c:pt>
                <c:pt idx="13">
                  <c:v>105</c:v>
                </c:pt>
                <c:pt idx="14">
                  <c:v>120</c:v>
                </c:pt>
                <c:pt idx="15">
                  <c:v>135</c:v>
                </c:pt>
                <c:pt idx="16">
                  <c:v>150</c:v>
                </c:pt>
                <c:pt idx="17">
                  <c:v>165</c:v>
                </c:pt>
                <c:pt idx="18">
                  <c:v>180</c:v>
                </c:pt>
                <c:pt idx="19">
                  <c:v>195</c:v>
                </c:pt>
                <c:pt idx="20">
                  <c:v>210</c:v>
                </c:pt>
                <c:pt idx="21">
                  <c:v>225</c:v>
                </c:pt>
                <c:pt idx="22">
                  <c:v>240</c:v>
                </c:pt>
              </c:numCache>
            </c:numRef>
          </c:xVal>
          <c:yVal>
            <c:numRef>
              <c:f>THC_BA!$C$19:$C$41</c:f>
              <c:numCache>
                <c:formatCode>0.000</c:formatCode>
                <c:ptCount val="23"/>
                <c:pt idx="0">
                  <c:v>3.2869999999999999</c:v>
                </c:pt>
                <c:pt idx="1">
                  <c:v>6.8380000000000001</c:v>
                </c:pt>
                <c:pt idx="2">
                  <c:v>10.167</c:v>
                </c:pt>
                <c:pt idx="3">
                  <c:v>12.683</c:v>
                </c:pt>
                <c:pt idx="4">
                  <c:v>16.765000000000001</c:v>
                </c:pt>
                <c:pt idx="5">
                  <c:v>19.489000000000001</c:v>
                </c:pt>
                <c:pt idx="6">
                  <c:v>22.585000000000001</c:v>
                </c:pt>
                <c:pt idx="7">
                  <c:v>24.521999999999998</c:v>
                </c:pt>
                <c:pt idx="8">
                  <c:v>27.77</c:v>
                </c:pt>
                <c:pt idx="9">
                  <c:v>30.443000000000001</c:v>
                </c:pt>
                <c:pt idx="10">
                  <c:v>33.164000000000001</c:v>
                </c:pt>
                <c:pt idx="11">
                  <c:v>35.854999999999997</c:v>
                </c:pt>
                <c:pt idx="12">
                  <c:v>39.607999999999997</c:v>
                </c:pt>
                <c:pt idx="13">
                  <c:v>42.796999999999997</c:v>
                </c:pt>
                <c:pt idx="14">
                  <c:v>46.631</c:v>
                </c:pt>
                <c:pt idx="15">
                  <c:v>49.085999999999999</c:v>
                </c:pt>
                <c:pt idx="16">
                  <c:v>50.997999999999998</c:v>
                </c:pt>
                <c:pt idx="17">
                  <c:v>54.29</c:v>
                </c:pt>
                <c:pt idx="18">
                  <c:v>57.534999999999997</c:v>
                </c:pt>
                <c:pt idx="19">
                  <c:v>57.518000000000001</c:v>
                </c:pt>
                <c:pt idx="20">
                  <c:v>59.807000000000002</c:v>
                </c:pt>
                <c:pt idx="21">
                  <c:v>62.921999999999997</c:v>
                </c:pt>
                <c:pt idx="22">
                  <c:v>65.33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42C-9544-84AA-033EC651F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1361895"/>
        <c:axId val="2106076425"/>
      </c:scatterChart>
      <c:valAx>
        <c:axId val="110136189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(min)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06076425"/>
        <c:crosses val="autoZero"/>
        <c:crossBetween val="midCat"/>
      </c:valAx>
      <c:valAx>
        <c:axId val="21060764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[THC] ng/uL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01361895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scatterChart>
        <c:scatterStyle val="lineMarker"/>
        <c:varyColors val="1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THC_BA!$A$109:$A$131</c:f>
              <c:numCache>
                <c:formatCode>General</c:formatCode>
                <c:ptCount val="23"/>
                <c:pt idx="0">
                  <c:v>2.5</c:v>
                </c:pt>
                <c:pt idx="1">
                  <c:v>5</c:v>
                </c:pt>
                <c:pt idx="2">
                  <c:v>7.5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60</c:v>
                </c:pt>
                <c:pt idx="11">
                  <c:v>75</c:v>
                </c:pt>
                <c:pt idx="12">
                  <c:v>90</c:v>
                </c:pt>
                <c:pt idx="13">
                  <c:v>105</c:v>
                </c:pt>
                <c:pt idx="14">
                  <c:v>120</c:v>
                </c:pt>
                <c:pt idx="15">
                  <c:v>135</c:v>
                </c:pt>
                <c:pt idx="16">
                  <c:v>150</c:v>
                </c:pt>
                <c:pt idx="17">
                  <c:v>165</c:v>
                </c:pt>
                <c:pt idx="18">
                  <c:v>180</c:v>
                </c:pt>
                <c:pt idx="19">
                  <c:v>195</c:v>
                </c:pt>
                <c:pt idx="20">
                  <c:v>210</c:v>
                </c:pt>
                <c:pt idx="21">
                  <c:v>225</c:v>
                </c:pt>
                <c:pt idx="22">
                  <c:v>240</c:v>
                </c:pt>
              </c:numCache>
            </c:numRef>
          </c:xVal>
          <c:yVal>
            <c:numRef>
              <c:f>THC_BA!$C$109:$C$131</c:f>
              <c:numCache>
                <c:formatCode>0.000</c:formatCode>
                <c:ptCount val="23"/>
                <c:pt idx="0">
                  <c:v>0</c:v>
                </c:pt>
                <c:pt idx="1">
                  <c:v>0.53900000000000003</c:v>
                </c:pt>
                <c:pt idx="2">
                  <c:v>1.353</c:v>
                </c:pt>
                <c:pt idx="3">
                  <c:v>1.76</c:v>
                </c:pt>
                <c:pt idx="4">
                  <c:v>3.6579999999999999</c:v>
                </c:pt>
                <c:pt idx="5">
                  <c:v>4.4359999999999999</c:v>
                </c:pt>
                <c:pt idx="6">
                  <c:v>4.8819999999999997</c:v>
                </c:pt>
                <c:pt idx="7">
                  <c:v>5.7140000000000004</c:v>
                </c:pt>
                <c:pt idx="8">
                  <c:v>7.0019999999999998</c:v>
                </c:pt>
                <c:pt idx="9">
                  <c:v>9.6039999999999992</c:v>
                </c:pt>
                <c:pt idx="10">
                  <c:v>11.632</c:v>
                </c:pt>
                <c:pt idx="11">
                  <c:v>15.679</c:v>
                </c:pt>
                <c:pt idx="12">
                  <c:v>20.103000000000002</c:v>
                </c:pt>
                <c:pt idx="13">
                  <c:v>25.638000000000002</c:v>
                </c:pt>
                <c:pt idx="14">
                  <c:v>29.486999999999998</c:v>
                </c:pt>
                <c:pt idx="15">
                  <c:v>33.625999999999998</c:v>
                </c:pt>
                <c:pt idx="16">
                  <c:v>38.518999999999998</c:v>
                </c:pt>
                <c:pt idx="17">
                  <c:v>42.311999999999998</c:v>
                </c:pt>
                <c:pt idx="18">
                  <c:v>45.32</c:v>
                </c:pt>
                <c:pt idx="19">
                  <c:v>50.173000000000002</c:v>
                </c:pt>
                <c:pt idx="20">
                  <c:v>53.607999999999997</c:v>
                </c:pt>
                <c:pt idx="21">
                  <c:v>57.331000000000003</c:v>
                </c:pt>
                <c:pt idx="22">
                  <c:v>61.404000000000003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3C-104C-927A-C82C3C46C09E}"/>
            </c:ext>
          </c:extLst>
        </c:ser>
        <c:ser>
          <c:idx val="1"/>
          <c:order val="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THC_BA!$A$109:$A$131</c:f>
              <c:numCache>
                <c:formatCode>General</c:formatCode>
                <c:ptCount val="23"/>
                <c:pt idx="0">
                  <c:v>2.5</c:v>
                </c:pt>
                <c:pt idx="1">
                  <c:v>5</c:v>
                </c:pt>
                <c:pt idx="2">
                  <c:v>7.5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60</c:v>
                </c:pt>
                <c:pt idx="11">
                  <c:v>75</c:v>
                </c:pt>
                <c:pt idx="12">
                  <c:v>90</c:v>
                </c:pt>
                <c:pt idx="13">
                  <c:v>105</c:v>
                </c:pt>
                <c:pt idx="14">
                  <c:v>120</c:v>
                </c:pt>
                <c:pt idx="15">
                  <c:v>135</c:v>
                </c:pt>
                <c:pt idx="16">
                  <c:v>150</c:v>
                </c:pt>
                <c:pt idx="17">
                  <c:v>165</c:v>
                </c:pt>
                <c:pt idx="18">
                  <c:v>180</c:v>
                </c:pt>
                <c:pt idx="19">
                  <c:v>195</c:v>
                </c:pt>
                <c:pt idx="20">
                  <c:v>210</c:v>
                </c:pt>
                <c:pt idx="21">
                  <c:v>225</c:v>
                </c:pt>
                <c:pt idx="22">
                  <c:v>240</c:v>
                </c:pt>
              </c:numCache>
            </c:numRef>
          </c:xVal>
          <c:yVal>
            <c:numRef>
              <c:f>THC_BA!$C$19:$C$41</c:f>
              <c:numCache>
                <c:formatCode>0.000</c:formatCode>
                <c:ptCount val="23"/>
                <c:pt idx="0">
                  <c:v>3.2869999999999999</c:v>
                </c:pt>
                <c:pt idx="1">
                  <c:v>6.8380000000000001</c:v>
                </c:pt>
                <c:pt idx="2">
                  <c:v>10.167</c:v>
                </c:pt>
                <c:pt idx="3">
                  <c:v>12.683</c:v>
                </c:pt>
                <c:pt idx="4">
                  <c:v>16.765000000000001</c:v>
                </c:pt>
                <c:pt idx="5">
                  <c:v>19.489000000000001</c:v>
                </c:pt>
                <c:pt idx="6">
                  <c:v>22.585000000000001</c:v>
                </c:pt>
                <c:pt idx="7">
                  <c:v>24.521999999999998</c:v>
                </c:pt>
                <c:pt idx="8">
                  <c:v>27.77</c:v>
                </c:pt>
                <c:pt idx="9">
                  <c:v>30.443000000000001</c:v>
                </c:pt>
                <c:pt idx="10">
                  <c:v>33.164000000000001</c:v>
                </c:pt>
                <c:pt idx="11">
                  <c:v>35.854999999999997</c:v>
                </c:pt>
                <c:pt idx="12">
                  <c:v>39.607999999999997</c:v>
                </c:pt>
                <c:pt idx="13">
                  <c:v>42.796999999999997</c:v>
                </c:pt>
                <c:pt idx="14">
                  <c:v>46.631</c:v>
                </c:pt>
                <c:pt idx="15">
                  <c:v>49.085999999999999</c:v>
                </c:pt>
                <c:pt idx="16">
                  <c:v>50.997999999999998</c:v>
                </c:pt>
                <c:pt idx="17">
                  <c:v>54.29</c:v>
                </c:pt>
                <c:pt idx="18">
                  <c:v>57.534999999999997</c:v>
                </c:pt>
                <c:pt idx="19">
                  <c:v>57.518000000000001</c:v>
                </c:pt>
                <c:pt idx="20">
                  <c:v>59.807000000000002</c:v>
                </c:pt>
                <c:pt idx="21">
                  <c:v>62.921999999999997</c:v>
                </c:pt>
                <c:pt idx="22">
                  <c:v>65.33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3C-104C-927A-C82C3C46C0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5854980"/>
        <c:axId val="974179976"/>
      </c:scatterChart>
      <c:valAx>
        <c:axId val="32585498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74179976"/>
        <c:crosses val="autoZero"/>
        <c:crossBetween val="midCat"/>
      </c:valAx>
      <c:valAx>
        <c:axId val="9741799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25854980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CBD Peak Area vs. Time (min)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'200mg_CBD_PVP_5_5_FaSSIF'!$A$2:$A$20</c:f>
              <c:numCache>
                <c:formatCode>General</c:formatCode>
                <c:ptCount val="19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30</c:v>
                </c:pt>
                <c:pt idx="5">
                  <c:v>45</c:v>
                </c:pt>
                <c:pt idx="6">
                  <c:v>60</c:v>
                </c:pt>
                <c:pt idx="7">
                  <c:v>75</c:v>
                </c:pt>
                <c:pt idx="8">
                  <c:v>90</c:v>
                </c:pt>
                <c:pt idx="9">
                  <c:v>105.5</c:v>
                </c:pt>
                <c:pt idx="10">
                  <c:v>120</c:v>
                </c:pt>
                <c:pt idx="11">
                  <c:v>135</c:v>
                </c:pt>
                <c:pt idx="12">
                  <c:v>150</c:v>
                </c:pt>
                <c:pt idx="13">
                  <c:v>165</c:v>
                </c:pt>
                <c:pt idx="14">
                  <c:v>180</c:v>
                </c:pt>
                <c:pt idx="15">
                  <c:v>195</c:v>
                </c:pt>
                <c:pt idx="16">
                  <c:v>210</c:v>
                </c:pt>
                <c:pt idx="17">
                  <c:v>225</c:v>
                </c:pt>
                <c:pt idx="18">
                  <c:v>240</c:v>
                </c:pt>
              </c:numCache>
            </c:numRef>
          </c:xVal>
          <c:yVal>
            <c:numRef>
              <c:f>'200mg_CBD_PVP_5_5_FaSSIF'!$B$2:$B$20</c:f>
              <c:numCache>
                <c:formatCode>General</c:formatCode>
                <c:ptCount val="19"/>
                <c:pt idx="0">
                  <c:v>16.7</c:v>
                </c:pt>
                <c:pt idx="1">
                  <c:v>22.1</c:v>
                </c:pt>
                <c:pt idx="2">
                  <c:v>36.299999999999997</c:v>
                </c:pt>
                <c:pt idx="3">
                  <c:v>43.9</c:v>
                </c:pt>
                <c:pt idx="4">
                  <c:v>58.8</c:v>
                </c:pt>
                <c:pt idx="5">
                  <c:v>78.7</c:v>
                </c:pt>
                <c:pt idx="6">
                  <c:v>99.4</c:v>
                </c:pt>
                <c:pt idx="7">
                  <c:v>116.6</c:v>
                </c:pt>
                <c:pt idx="8">
                  <c:v>126.7</c:v>
                </c:pt>
                <c:pt idx="9">
                  <c:v>142.69999999999999</c:v>
                </c:pt>
                <c:pt idx="10">
                  <c:v>148.30000000000001</c:v>
                </c:pt>
                <c:pt idx="11">
                  <c:v>150.6</c:v>
                </c:pt>
                <c:pt idx="12">
                  <c:v>166.8</c:v>
                </c:pt>
                <c:pt idx="13">
                  <c:v>172.4</c:v>
                </c:pt>
                <c:pt idx="14">
                  <c:v>179.5</c:v>
                </c:pt>
                <c:pt idx="15">
                  <c:v>180.3</c:v>
                </c:pt>
                <c:pt idx="16">
                  <c:v>187.9</c:v>
                </c:pt>
                <c:pt idx="17">
                  <c:v>188.8</c:v>
                </c:pt>
                <c:pt idx="18">
                  <c:v>188.9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4D3-3046-98C7-1D0560B974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3684944"/>
        <c:axId val="706951625"/>
      </c:scatterChart>
      <c:valAx>
        <c:axId val="91368494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(min)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06951625"/>
        <c:crosses val="autoZero"/>
        <c:crossBetween val="midCat"/>
      </c:valAx>
      <c:valAx>
        <c:axId val="7069516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CBD Peak Area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13684944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[CBD] (ng/ul)  vs. Time (min)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'200mg_CBD_PVP_5_5_FaSSIF'!$C$1</c:f>
              <c:strCache>
                <c:ptCount val="1"/>
                <c:pt idx="0">
                  <c:v>[CBD] (ng/ul) 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'200mg_CBD_PVP_5_5_FaSSIF'!$A$2:$A$22</c:f>
              <c:numCache>
                <c:formatCode>General</c:formatCode>
                <c:ptCount val="2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30</c:v>
                </c:pt>
                <c:pt idx="5">
                  <c:v>45</c:v>
                </c:pt>
                <c:pt idx="6">
                  <c:v>60</c:v>
                </c:pt>
                <c:pt idx="7">
                  <c:v>75</c:v>
                </c:pt>
                <c:pt idx="8">
                  <c:v>90</c:v>
                </c:pt>
                <c:pt idx="9">
                  <c:v>105.5</c:v>
                </c:pt>
                <c:pt idx="10">
                  <c:v>120</c:v>
                </c:pt>
                <c:pt idx="11">
                  <c:v>135</c:v>
                </c:pt>
                <c:pt idx="12">
                  <c:v>150</c:v>
                </c:pt>
                <c:pt idx="13">
                  <c:v>165</c:v>
                </c:pt>
                <c:pt idx="14">
                  <c:v>180</c:v>
                </c:pt>
                <c:pt idx="15">
                  <c:v>195</c:v>
                </c:pt>
                <c:pt idx="16">
                  <c:v>210</c:v>
                </c:pt>
                <c:pt idx="17">
                  <c:v>225</c:v>
                </c:pt>
                <c:pt idx="18">
                  <c:v>240</c:v>
                </c:pt>
                <c:pt idx="19">
                  <c:v>255</c:v>
                </c:pt>
                <c:pt idx="20">
                  <c:v>265</c:v>
                </c:pt>
              </c:numCache>
            </c:numRef>
          </c:xVal>
          <c:yVal>
            <c:numRef>
              <c:f>'200mg_CBD_PVP_5_5_FaSSIF'!$C$2:$C$22</c:f>
              <c:numCache>
                <c:formatCode>0.00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0.58493077141004579</c:v>
                </c:pt>
                <c:pt idx="3">
                  <c:v>1.1299844142628002</c:v>
                </c:pt>
                <c:pt idx="4">
                  <c:v>2.1985764245925421</c:v>
                </c:pt>
                <c:pt idx="5">
                  <c:v>3.6257563578517282</c:v>
                </c:pt>
                <c:pt idx="6">
                  <c:v>5.1103103587796248</c:v>
                </c:pt>
                <c:pt idx="7">
                  <c:v>6.3438528136569099</c:v>
                </c:pt>
                <c:pt idx="8">
                  <c:v>7.0682004179743867</c:v>
                </c:pt>
                <c:pt idx="9">
                  <c:v>8.2156817713486046</c:v>
                </c:pt>
                <c:pt idx="10">
                  <c:v>8.6173002450295844</c:v>
                </c:pt>
                <c:pt idx="11">
                  <c:v>8.7822506895771273</c:v>
                </c:pt>
                <c:pt idx="12">
                  <c:v>9.9440755598685246</c:v>
                </c:pt>
                <c:pt idx="13">
                  <c:v>10.345694033549501</c:v>
                </c:pt>
                <c:pt idx="14">
                  <c:v>10.854888884109311</c:v>
                </c:pt>
                <c:pt idx="15">
                  <c:v>10.912262951778024</c:v>
                </c:pt>
                <c:pt idx="16">
                  <c:v>11.457316594630777</c:v>
                </c:pt>
                <c:pt idx="17">
                  <c:v>11.521862420758078</c:v>
                </c:pt>
                <c:pt idx="18">
                  <c:v>11.529034179216666</c:v>
                </c:pt>
                <c:pt idx="19">
                  <c:v>11.465205528935224</c:v>
                </c:pt>
                <c:pt idx="20">
                  <c:v>11.959339686731997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42D-6547-8775-26B5A65E0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240024"/>
        <c:axId val="1744529375"/>
      </c:scatterChart>
      <c:valAx>
        <c:axId val="8424002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(min)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44529375"/>
        <c:crosses val="autoZero"/>
        <c:crossBetween val="midCat"/>
      </c:valAx>
      <c:valAx>
        <c:axId val="17445293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[CBD] (ng/ul) 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4240024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CBD Peak Area vs. Time (min)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spPr>
              <a:ln w="19050">
                <a:solidFill>
                  <a:srgbClr val="000000"/>
                </a:solidFill>
              </a:ln>
            </c:spPr>
            <c:trendlineType val="exp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'100mg_CBD_FaSSIF'!$A$2:$A$13</c:f>
              <c:numCache>
                <c:formatCode>General</c:formatCode>
                <c:ptCount val="12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30</c:v>
                </c:pt>
                <c:pt idx="5">
                  <c:v>45</c:v>
                </c:pt>
                <c:pt idx="6">
                  <c:v>60</c:v>
                </c:pt>
                <c:pt idx="7">
                  <c:v>75</c:v>
                </c:pt>
                <c:pt idx="8">
                  <c:v>90</c:v>
                </c:pt>
                <c:pt idx="9">
                  <c:v>105</c:v>
                </c:pt>
                <c:pt idx="11">
                  <c:v>1270</c:v>
                </c:pt>
              </c:numCache>
            </c:numRef>
          </c:xVal>
          <c:yVal>
            <c:numRef>
              <c:f>'100mg_CBD_FaSSIF'!$B$2:$B$13</c:f>
              <c:numCache>
                <c:formatCode>General</c:formatCode>
                <c:ptCount val="12"/>
                <c:pt idx="0">
                  <c:v>4.3</c:v>
                </c:pt>
                <c:pt idx="1">
                  <c:v>5.9</c:v>
                </c:pt>
                <c:pt idx="2">
                  <c:v>9.1999999999999993</c:v>
                </c:pt>
                <c:pt idx="3">
                  <c:v>9.3000000000000007</c:v>
                </c:pt>
                <c:pt idx="4">
                  <c:v>13.4</c:v>
                </c:pt>
                <c:pt idx="5">
                  <c:v>17.3</c:v>
                </c:pt>
                <c:pt idx="6">
                  <c:v>20.9</c:v>
                </c:pt>
                <c:pt idx="7">
                  <c:v>27.3</c:v>
                </c:pt>
                <c:pt idx="8">
                  <c:v>28.7</c:v>
                </c:pt>
                <c:pt idx="9">
                  <c:v>31.8</c:v>
                </c:pt>
                <c:pt idx="11">
                  <c:v>130.80000000000001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7B1-614A-874E-D51B87B0E5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9416489"/>
        <c:axId val="2056184079"/>
      </c:scatterChart>
      <c:valAx>
        <c:axId val="66941648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(min)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56184079"/>
        <c:crosses val="autoZero"/>
        <c:crossBetween val="midCat"/>
      </c:valAx>
      <c:valAx>
        <c:axId val="20561840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CBD Peak Area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69416489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[CBD] (ng/ul)  vs. Time (min)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'100mg_CBD_FaSSIF'!$C$1</c:f>
              <c:strCache>
                <c:ptCount val="1"/>
                <c:pt idx="0">
                  <c:v>[CBD] (ng/ul) 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'100mg_CBD_FaSSIF'!$A$2:$A$11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30</c:v>
                </c:pt>
                <c:pt idx="5">
                  <c:v>45</c:v>
                </c:pt>
                <c:pt idx="6">
                  <c:v>60</c:v>
                </c:pt>
                <c:pt idx="7">
                  <c:v>75</c:v>
                </c:pt>
                <c:pt idx="8">
                  <c:v>90</c:v>
                </c:pt>
                <c:pt idx="9">
                  <c:v>105</c:v>
                </c:pt>
              </c:numCache>
            </c:numRef>
          </c:xVal>
          <c:yVal>
            <c:numRef>
              <c:f>'100mg_CBD_FaSSIF'!$C$2:$C$11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3.987712855729169E-2</c:v>
                </c:pt>
                <c:pt idx="9">
                  <c:v>0.26220164077354685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12A-F84E-88A8-63F8972661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9355485"/>
        <c:axId val="1666688151"/>
      </c:scatterChart>
      <c:valAx>
        <c:axId val="112935548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(min)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66688151"/>
        <c:crosses val="autoZero"/>
        <c:crossBetween val="midCat"/>
      </c:valAx>
      <c:valAx>
        <c:axId val="16666881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[CBD] (ng/ul) 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29355485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[CBD] (ng/ul) vs. Time (min)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2131497623"/>
        <c:axId val="1847010444"/>
      </c:scatterChart>
      <c:valAx>
        <c:axId val="2131497623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(min)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47010444"/>
        <c:crosses val="autoZero"/>
        <c:crossBetween val="midCat"/>
      </c:valAx>
      <c:valAx>
        <c:axId val="1847010444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2131497623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[CBD] (ng/ul) vs. Time (min)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'CBD_96.2mg_SGFdegassed_PVDFfilt'!$F$8</c:f>
              <c:strCache>
                <c:ptCount val="1"/>
                <c:pt idx="0">
                  <c:v>[CBD] (ng/ul)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Trendline for [CBD] (ng/ul)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  <c:trendlineLbl>
              <c:numFmt formatCode="General" sourceLinked="0"/>
            </c:trendlineLbl>
          </c:trendline>
          <c:xVal>
            <c:numRef>
              <c:f>'CBD_96.2mg_SGFdegassed_PVDFfilt'!$E$9:$E$18</c:f>
              <c:numCache>
                <c:formatCode>General</c:formatCode>
                <c:ptCount val="1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45</c:v>
                </c:pt>
                <c:pt idx="7">
                  <c:v>60</c:v>
                </c:pt>
                <c:pt idx="8">
                  <c:v>75</c:v>
                </c:pt>
                <c:pt idx="9">
                  <c:v>90</c:v>
                </c:pt>
              </c:numCache>
            </c:numRef>
          </c:xVal>
          <c:yVal>
            <c:numRef>
              <c:f>'CBD_96.2mg_SGFdegassed_PVDFfilt'!$F$9:$F$18</c:f>
              <c:numCache>
                <c:formatCode>General</c:formatCode>
                <c:ptCount val="10"/>
                <c:pt idx="0">
                  <c:v>0</c:v>
                </c:pt>
                <c:pt idx="1">
                  <c:v>0.82</c:v>
                </c:pt>
                <c:pt idx="2">
                  <c:v>1.7</c:v>
                </c:pt>
                <c:pt idx="3">
                  <c:v>1.17</c:v>
                </c:pt>
                <c:pt idx="5">
                  <c:v>1.43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6FF-E648-8DC3-0BD01C7F28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006050"/>
        <c:axId val="2060819489"/>
      </c:scatterChart>
      <c:valAx>
        <c:axId val="157006050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(min)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60819489"/>
        <c:crosses val="autoZero"/>
        <c:crossBetween val="midCat"/>
      </c:valAx>
      <c:valAx>
        <c:axId val="20608194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[CBD] (ng/ul)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7006050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[CBD] (ng/ul) vs. Time (min)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82828063"/>
        <c:axId val="236131135"/>
      </c:scatterChart>
      <c:valAx>
        <c:axId val="82828063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(min)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36131135"/>
        <c:crosses val="autoZero"/>
        <c:crossBetween val="midCat"/>
      </c:valAx>
      <c:valAx>
        <c:axId val="236131135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82828063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[CBD] (ng/ul) vs. Time (min)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'5_5_CBD_PVP_194mg_powder'!$G$8</c:f>
              <c:strCache>
                <c:ptCount val="1"/>
                <c:pt idx="0">
                  <c:v>[CBD] (ng/ul)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Trendline for [CBD] (ng/ul)</c:name>
            <c:spPr>
              <a:ln w="19050">
                <a:solidFill>
                  <a:srgbClr val="000000"/>
                </a:solidFill>
              </a:ln>
            </c:spPr>
            <c:trendlineType val="exp"/>
            <c:dispRSqr val="1"/>
            <c:dispEq val="0"/>
            <c:trendlineLbl>
              <c:numFmt formatCode="General" sourceLinked="0"/>
            </c:trendlineLbl>
          </c:trendline>
          <c:xVal>
            <c:numRef>
              <c:f>'5_5_CBD_PVP_194mg_powder'!$F$9:$F$18</c:f>
              <c:numCache>
                <c:formatCode>General</c:formatCode>
                <c:ptCount val="10"/>
                <c:pt idx="0">
                  <c:v>1</c:v>
                </c:pt>
                <c:pt idx="1">
                  <c:v>5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90</c:v>
                </c:pt>
              </c:numCache>
            </c:numRef>
          </c:xVal>
          <c:yVal>
            <c:numRef>
              <c:f>'5_5_CBD_PVP_194mg_powder'!$G$9:$G$18</c:f>
              <c:numCache>
                <c:formatCode>General</c:formatCode>
                <c:ptCount val="10"/>
                <c:pt idx="0">
                  <c:v>35.049248501193922</c:v>
                </c:pt>
                <c:pt idx="1">
                  <c:v>79.743647215119779</c:v>
                </c:pt>
                <c:pt idx="2">
                  <c:v>81.622647931270066</c:v>
                </c:pt>
                <c:pt idx="3">
                  <c:v>97.773447980012193</c:v>
                </c:pt>
                <c:pt idx="4">
                  <c:v>98.332845139782137</c:v>
                </c:pt>
                <c:pt idx="5">
                  <c:v>100.67083839728211</c:v>
                </c:pt>
                <c:pt idx="6">
                  <c:v>113.78081285958257</c:v>
                </c:pt>
                <c:pt idx="7">
                  <c:v>113.92424802875433</c:v>
                </c:pt>
                <c:pt idx="8">
                  <c:v>126.04451982376953</c:v>
                </c:pt>
                <c:pt idx="9">
                  <c:v>165.67565706593163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C51-5649-902F-FBF645E40A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3207363"/>
        <c:axId val="666354725"/>
      </c:scatterChart>
      <c:valAx>
        <c:axId val="363207363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(min)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66354725"/>
        <c:crosses val="autoZero"/>
        <c:crossBetween val="midCat"/>
      </c:valAx>
      <c:valAx>
        <c:axId val="6663547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[CBD] (ng/ul)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63207363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[CBD] (ng/ul) vs. Time (min)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'CBD_92.2mg_powder'!$G$8</c:f>
              <c:strCache>
                <c:ptCount val="1"/>
                <c:pt idx="0">
                  <c:v>[CBD] (ng/ul)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Trendline for [CBD] (ng/ul)</c:name>
            <c:spPr>
              <a:ln w="19050">
                <a:solidFill>
                  <a:srgbClr val="000000"/>
                </a:solidFill>
              </a:ln>
            </c:spPr>
            <c:trendlineType val="exp"/>
            <c:dispRSqr val="1"/>
            <c:dispEq val="0"/>
            <c:trendlineLbl>
              <c:numFmt formatCode="General" sourceLinked="0"/>
            </c:trendlineLbl>
          </c:trendline>
          <c:xVal>
            <c:numRef>
              <c:f>'CBD_92.2mg_powder'!$F$9:$F$16</c:f>
              <c:numCache>
                <c:formatCode>General</c:formatCode>
                <c:ptCount val="8"/>
                <c:pt idx="0">
                  <c:v>1</c:v>
                </c:pt>
                <c:pt idx="1">
                  <c:v>5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</c:numCache>
            </c:numRef>
          </c:xVal>
          <c:yVal>
            <c:numRef>
              <c:f>'CBD_92.2mg_powder'!$G$9:$G$16</c:f>
              <c:numCache>
                <c:formatCode>General</c:formatCode>
                <c:ptCount val="8"/>
                <c:pt idx="0">
                  <c:v>35.049248501193922</c:v>
                </c:pt>
                <c:pt idx="1">
                  <c:v>79.743647215119779</c:v>
                </c:pt>
                <c:pt idx="2">
                  <c:v>81.622647931270066</c:v>
                </c:pt>
                <c:pt idx="3">
                  <c:v>97.773447980012193</c:v>
                </c:pt>
                <c:pt idx="4">
                  <c:v>98.332845139782137</c:v>
                </c:pt>
                <c:pt idx="5">
                  <c:v>100.67083839728211</c:v>
                </c:pt>
                <c:pt idx="6">
                  <c:v>113.78081285958257</c:v>
                </c:pt>
                <c:pt idx="7">
                  <c:v>113.92424802875433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B9D-3F40-A226-824631BB9A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7714622"/>
        <c:axId val="775647342"/>
      </c:scatterChart>
      <c:valAx>
        <c:axId val="1477714622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(min)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75647342"/>
        <c:crosses val="autoZero"/>
        <c:crossBetween val="midCat"/>
      </c:valAx>
      <c:valAx>
        <c:axId val="7756473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[CBD] (ng/ul)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77714622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chart" Target="../charts/chart1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790575</xdr:colOff>
      <xdr:row>14</xdr:row>
      <xdr:rowOff>76200</xdr:rowOff>
    </xdr:from>
    <xdr:ext cx="5715000" cy="35337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3</xdr:col>
      <xdr:colOff>609600</xdr:colOff>
      <xdr:row>44</xdr:row>
      <xdr:rowOff>85725</xdr:rowOff>
    </xdr:from>
    <xdr:ext cx="5715000" cy="3533775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5</xdr:col>
      <xdr:colOff>438150</xdr:colOff>
      <xdr:row>75</xdr:row>
      <xdr:rowOff>95250</xdr:rowOff>
    </xdr:from>
    <xdr:ext cx="5715000" cy="3533775"/>
    <xdr:graphicFrame macro="">
      <xdr:nvGraphicFramePr>
        <xdr:cNvPr id="4" name="Chart 3" titl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6</xdr:col>
      <xdr:colOff>466725</xdr:colOff>
      <xdr:row>109</xdr:row>
      <xdr:rowOff>85725</xdr:rowOff>
    </xdr:from>
    <xdr:ext cx="5715000" cy="3533775"/>
    <xdr:graphicFrame macro="">
      <xdr:nvGraphicFramePr>
        <xdr:cNvPr id="5" name="Chart 4" title="Chart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5</xdr:col>
      <xdr:colOff>609600</xdr:colOff>
      <xdr:row>146</xdr:row>
      <xdr:rowOff>85725</xdr:rowOff>
    </xdr:from>
    <xdr:ext cx="5715000" cy="3533775"/>
    <xdr:graphicFrame macro="">
      <xdr:nvGraphicFramePr>
        <xdr:cNvPr id="6" name="Chart 5" title="Chart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5</xdr:col>
      <xdr:colOff>619125</xdr:colOff>
      <xdr:row>177</xdr:row>
      <xdr:rowOff>95250</xdr:rowOff>
    </xdr:from>
    <xdr:ext cx="5715000" cy="3533775"/>
    <xdr:graphicFrame macro="">
      <xdr:nvGraphicFramePr>
        <xdr:cNvPr id="7" name="Chart 6" title="Chart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5</xdr:col>
      <xdr:colOff>628650</xdr:colOff>
      <xdr:row>210</xdr:row>
      <xdr:rowOff>133350</xdr:rowOff>
    </xdr:from>
    <xdr:ext cx="5715000" cy="3533775"/>
    <xdr:graphicFrame macro="">
      <xdr:nvGraphicFramePr>
        <xdr:cNvPr id="8" name="Chart 7" title="Chart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  <xdr:oneCellAnchor>
    <xdr:from>
      <xdr:col>6</xdr:col>
      <xdr:colOff>76200</xdr:colOff>
      <xdr:row>243</xdr:row>
      <xdr:rowOff>123825</xdr:rowOff>
    </xdr:from>
    <xdr:ext cx="5715000" cy="3533775"/>
    <xdr:graphicFrame macro="">
      <xdr:nvGraphicFramePr>
        <xdr:cNvPr id="9" name="Chart 8" title="Chart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0"/>
  </xdr:oneCellAnchor>
  <xdr:oneCellAnchor>
    <xdr:from>
      <xdr:col>6</xdr:col>
      <xdr:colOff>76200</xdr:colOff>
      <xdr:row>261</xdr:row>
      <xdr:rowOff>171450</xdr:rowOff>
    </xdr:from>
    <xdr:ext cx="5715000" cy="3533775"/>
    <xdr:graphicFrame macro="">
      <xdr:nvGraphicFramePr>
        <xdr:cNvPr id="10" name="Chart 9" title="Chart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104775</xdr:colOff>
      <xdr:row>11</xdr:row>
      <xdr:rowOff>142875</xdr:rowOff>
    </xdr:from>
    <xdr:ext cx="5715000" cy="3533775"/>
    <xdr:graphicFrame macro="">
      <xdr:nvGraphicFramePr>
        <xdr:cNvPr id="10" name="Chart 10" title="Chart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6</xdr:col>
      <xdr:colOff>638175</xdr:colOff>
      <xdr:row>43</xdr:row>
      <xdr:rowOff>104775</xdr:rowOff>
    </xdr:from>
    <xdr:ext cx="5715000" cy="3533775"/>
    <xdr:graphicFrame macro="">
      <xdr:nvGraphicFramePr>
        <xdr:cNvPr id="11" name="Chart 11" title="Chart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66675</xdr:colOff>
      <xdr:row>50</xdr:row>
      <xdr:rowOff>161925</xdr:rowOff>
    </xdr:from>
    <xdr:ext cx="5715000" cy="3533775"/>
    <xdr:graphicFrame macro="">
      <xdr:nvGraphicFramePr>
        <xdr:cNvPr id="12" name="Chart 12" title="Chart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11</xdr:col>
      <xdr:colOff>190500</xdr:colOff>
      <xdr:row>18</xdr:row>
      <xdr:rowOff>47625</xdr:rowOff>
    </xdr:from>
    <xdr:ext cx="5715000" cy="3533775"/>
    <xdr:graphicFrame macro="">
      <xdr:nvGraphicFramePr>
        <xdr:cNvPr id="13" name="Chart 13" title="Chart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10</xdr:col>
      <xdr:colOff>742950</xdr:colOff>
      <xdr:row>113</xdr:row>
      <xdr:rowOff>57150</xdr:rowOff>
    </xdr:from>
    <xdr:ext cx="5715000" cy="3533775"/>
    <xdr:graphicFrame macro="">
      <xdr:nvGraphicFramePr>
        <xdr:cNvPr id="14" name="Chart 14" title="Chart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10</xdr:col>
      <xdr:colOff>428625</xdr:colOff>
      <xdr:row>143</xdr:row>
      <xdr:rowOff>95250</xdr:rowOff>
    </xdr:from>
    <xdr:ext cx="5715000" cy="3533775"/>
    <xdr:graphicFrame macro="">
      <xdr:nvGraphicFramePr>
        <xdr:cNvPr id="15" name="Chart 15" title="Chart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152400</xdr:colOff>
      <xdr:row>15</xdr:row>
      <xdr:rowOff>161925</xdr:rowOff>
    </xdr:from>
    <xdr:ext cx="5715000" cy="3533775"/>
    <xdr:graphicFrame macro="">
      <xdr:nvGraphicFramePr>
        <xdr:cNvPr id="16" name="Chart 16" title="Chart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11</xdr:col>
      <xdr:colOff>95250</xdr:colOff>
      <xdr:row>45</xdr:row>
      <xdr:rowOff>161925</xdr:rowOff>
    </xdr:from>
    <xdr:ext cx="5715000" cy="3533775"/>
    <xdr:graphicFrame macro="">
      <xdr:nvGraphicFramePr>
        <xdr:cNvPr id="17" name="Chart 17" title="Chart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5</xdr:col>
      <xdr:colOff>209550</xdr:colOff>
      <xdr:row>109</xdr:row>
      <xdr:rowOff>57150</xdr:rowOff>
    </xdr:from>
    <xdr:ext cx="5715000" cy="3533775"/>
    <xdr:graphicFrame macro="">
      <xdr:nvGraphicFramePr>
        <xdr:cNvPr id="18" name="Chart 18" title="Chart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23</xdr:row>
      <xdr:rowOff>76200</xdr:rowOff>
    </xdr:from>
    <xdr:ext cx="5715000" cy="3533775"/>
    <xdr:graphicFrame macro="">
      <xdr:nvGraphicFramePr>
        <xdr:cNvPr id="19" name="Chart 19" title="Chart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6</xdr:col>
      <xdr:colOff>133350</xdr:colOff>
      <xdr:row>23</xdr:row>
      <xdr:rowOff>76200</xdr:rowOff>
    </xdr:from>
    <xdr:ext cx="5715000" cy="3533775"/>
    <xdr:graphicFrame macro="">
      <xdr:nvGraphicFramePr>
        <xdr:cNvPr id="20" name="Chart 20" title="Chart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180975</xdr:colOff>
      <xdr:row>14</xdr:row>
      <xdr:rowOff>19050</xdr:rowOff>
    </xdr:from>
    <xdr:ext cx="5715000" cy="3533775"/>
    <xdr:graphicFrame macro="">
      <xdr:nvGraphicFramePr>
        <xdr:cNvPr id="21" name="Chart 21" title="Chart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6</xdr:col>
      <xdr:colOff>447675</xdr:colOff>
      <xdr:row>13</xdr:row>
      <xdr:rowOff>171450</xdr:rowOff>
    </xdr:from>
    <xdr:ext cx="5715000" cy="3533775"/>
    <xdr:graphicFrame macro="">
      <xdr:nvGraphicFramePr>
        <xdr:cNvPr id="22" name="Chart 22" title="Chart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123825</xdr:colOff>
      <xdr:row>14</xdr:row>
      <xdr:rowOff>114300</xdr:rowOff>
    </xdr:from>
    <xdr:ext cx="5715000" cy="3533775"/>
    <xdr:graphicFrame macro="">
      <xdr:nvGraphicFramePr>
        <xdr:cNvPr id="23" name="Chart 23" title="Chart"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123825</xdr:colOff>
      <xdr:row>14</xdr:row>
      <xdr:rowOff>114300</xdr:rowOff>
    </xdr:from>
    <xdr:ext cx="5715000" cy="3533775"/>
    <xdr:graphicFrame macro="">
      <xdr:nvGraphicFramePr>
        <xdr:cNvPr id="24" name="Chart 24" title="Chart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123825</xdr:colOff>
      <xdr:row>14</xdr:row>
      <xdr:rowOff>114300</xdr:rowOff>
    </xdr:from>
    <xdr:ext cx="5715000" cy="3533775"/>
    <xdr:graphicFrame macro="">
      <xdr:nvGraphicFramePr>
        <xdr:cNvPr id="25" name="Chart 25" title="Chart">
          <a:extLst>
            <a:ext uri="{FF2B5EF4-FFF2-40B4-BE49-F238E27FC236}">
              <a16:creationId xmlns:a16="http://schemas.microsoft.com/office/drawing/2014/main" id="{00000000-0008-0000-0A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352425</xdr:colOff>
      <xdr:row>8</xdr:row>
      <xdr:rowOff>9525</xdr:rowOff>
    </xdr:from>
    <xdr:ext cx="5715000" cy="3533775"/>
    <xdr:graphicFrame macro="">
      <xdr:nvGraphicFramePr>
        <xdr:cNvPr id="26" name="Chart 26" title="Chart">
          <a:extLst>
            <a:ext uri="{FF2B5EF4-FFF2-40B4-BE49-F238E27FC236}">
              <a16:creationId xmlns:a16="http://schemas.microsoft.com/office/drawing/2014/main" id="{00000000-0008-0000-0B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19</xdr:row>
      <xdr:rowOff>190500</xdr:rowOff>
    </xdr:from>
    <xdr:ext cx="5715000" cy="3533775"/>
    <xdr:graphicFrame macro="">
      <xdr:nvGraphicFramePr>
        <xdr:cNvPr id="27" name="Chart 27" title="Chart">
          <a:extLst>
            <a:ext uri="{FF2B5EF4-FFF2-40B4-BE49-F238E27FC236}">
              <a16:creationId xmlns:a16="http://schemas.microsoft.com/office/drawing/2014/main" id="{00000000-0008-0000-0C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M266"/>
  <sheetViews>
    <sheetView tabSelected="1" workbookViewId="0"/>
  </sheetViews>
  <sheetFormatPr baseColWidth="10" defaultColWidth="12.6640625" defaultRowHeight="15.75" customHeight="1" x14ac:dyDescent="0.15"/>
  <cols>
    <col min="3" max="3" width="17.1640625" customWidth="1"/>
    <col min="4" max="4" width="13.6640625" customWidth="1"/>
  </cols>
  <sheetData>
    <row r="2" spans="1:13" ht="15.75" customHeight="1" x14ac:dyDescent="0.15">
      <c r="J2" s="1" t="s">
        <v>0</v>
      </c>
      <c r="L2" s="2" t="s">
        <v>1</v>
      </c>
      <c r="M2" s="3">
        <v>44221</v>
      </c>
    </row>
    <row r="3" spans="1:13" ht="15.75" customHeight="1" x14ac:dyDescent="0.15">
      <c r="J3" s="2" t="s">
        <v>2</v>
      </c>
    </row>
    <row r="4" spans="1:13" ht="15.75" customHeight="1" x14ac:dyDescent="0.15">
      <c r="A4" s="4" t="s">
        <v>3</v>
      </c>
      <c r="B4" s="4" t="s">
        <v>4</v>
      </c>
      <c r="C4" s="4" t="s">
        <v>5</v>
      </c>
      <c r="D4" s="5"/>
      <c r="F4" s="34" t="s">
        <v>6</v>
      </c>
      <c r="G4" s="35"/>
      <c r="J4" s="2" t="s">
        <v>7</v>
      </c>
      <c r="L4" s="2" t="s">
        <v>8</v>
      </c>
    </row>
    <row r="5" spans="1:13" ht="15.75" customHeight="1" x14ac:dyDescent="0.15">
      <c r="A5" s="2">
        <v>5</v>
      </c>
      <c r="B5" s="2">
        <v>5.4</v>
      </c>
      <c r="C5" s="7">
        <f t="shared" ref="C5:C33" si="0">(B5-$G$6)/$G$5</f>
        <v>-1.3507241373195575</v>
      </c>
      <c r="D5" s="8"/>
      <c r="F5" s="2" t="s">
        <v>9</v>
      </c>
      <c r="G5" s="2">
        <v>14.3293471</v>
      </c>
      <c r="J5" s="2" t="s">
        <v>10</v>
      </c>
    </row>
    <row r="6" spans="1:13" ht="15.75" customHeight="1" x14ac:dyDescent="0.15">
      <c r="A6" s="2">
        <v>10</v>
      </c>
      <c r="B6" s="2">
        <v>10.199999999999999</v>
      </c>
      <c r="C6" s="7">
        <f t="shared" si="0"/>
        <v>-1.0157472562026222</v>
      </c>
      <c r="D6" s="8"/>
      <c r="F6" s="2" t="s">
        <v>11</v>
      </c>
      <c r="G6" s="2">
        <v>24.754995000000001</v>
      </c>
      <c r="J6" s="2" t="s">
        <v>12</v>
      </c>
    </row>
    <row r="7" spans="1:13" ht="15.75" customHeight="1" x14ac:dyDescent="0.15">
      <c r="A7" s="2">
        <v>15</v>
      </c>
      <c r="B7" s="2">
        <v>9.1999999999999993</v>
      </c>
      <c r="C7" s="7">
        <f t="shared" si="0"/>
        <v>-1.085534106435317</v>
      </c>
      <c r="D7" s="8"/>
      <c r="J7" s="2" t="s">
        <v>13</v>
      </c>
    </row>
    <row r="8" spans="1:13" ht="15.75" customHeight="1" x14ac:dyDescent="0.15">
      <c r="A8" s="2">
        <v>20</v>
      </c>
      <c r="B8" s="2">
        <v>13.9</v>
      </c>
      <c r="C8" s="7">
        <f t="shared" si="0"/>
        <v>-0.75753591034165124</v>
      </c>
      <c r="D8" s="8"/>
      <c r="F8" s="2" t="s">
        <v>14</v>
      </c>
      <c r="J8" s="2" t="s">
        <v>15</v>
      </c>
    </row>
    <row r="9" spans="1:13" ht="15.75" customHeight="1" x14ac:dyDescent="0.15">
      <c r="A9" s="2">
        <v>25</v>
      </c>
      <c r="B9" s="2">
        <v>13.5</v>
      </c>
      <c r="C9" s="7">
        <f t="shared" si="0"/>
        <v>-0.78545065043472928</v>
      </c>
      <c r="D9" s="8"/>
      <c r="J9" s="2" t="s">
        <v>16</v>
      </c>
    </row>
    <row r="10" spans="1:13" ht="15.75" customHeight="1" x14ac:dyDescent="0.15">
      <c r="A10" s="2">
        <v>30</v>
      </c>
      <c r="B10" s="2">
        <v>16.899999999999999</v>
      </c>
      <c r="C10" s="7">
        <f t="shared" si="0"/>
        <v>-0.5481753596435669</v>
      </c>
      <c r="D10" s="8"/>
      <c r="J10" s="2" t="s">
        <v>17</v>
      </c>
    </row>
    <row r="11" spans="1:13" ht="15.75" customHeight="1" x14ac:dyDescent="0.15">
      <c r="A11" s="2">
        <v>35</v>
      </c>
      <c r="B11" s="2">
        <v>27</v>
      </c>
      <c r="C11" s="7">
        <f t="shared" si="0"/>
        <v>0.156671827706651</v>
      </c>
      <c r="D11" s="8"/>
      <c r="J11" s="2" t="s">
        <v>18</v>
      </c>
    </row>
    <row r="12" spans="1:13" ht="15.75" customHeight="1" x14ac:dyDescent="0.15">
      <c r="A12" s="2">
        <v>40</v>
      </c>
      <c r="B12" s="2">
        <v>22</v>
      </c>
      <c r="C12" s="7">
        <f t="shared" si="0"/>
        <v>-0.19226242345682318</v>
      </c>
      <c r="D12" s="8"/>
    </row>
    <row r="13" spans="1:13" ht="15.75" customHeight="1" x14ac:dyDescent="0.15">
      <c r="A13" s="2">
        <v>45</v>
      </c>
      <c r="B13" s="2">
        <v>25.5</v>
      </c>
      <c r="C13" s="7">
        <f t="shared" si="0"/>
        <v>5.1991552357608745E-2</v>
      </c>
      <c r="D13" s="8"/>
    </row>
    <row r="14" spans="1:13" ht="15.75" customHeight="1" x14ac:dyDescent="0.15">
      <c r="A14" s="2">
        <v>50</v>
      </c>
      <c r="B14" s="2">
        <v>34.1</v>
      </c>
      <c r="C14" s="7">
        <f t="shared" si="0"/>
        <v>0.65215846435878444</v>
      </c>
      <c r="D14" s="8"/>
    </row>
    <row r="15" spans="1:13" ht="15.75" customHeight="1" x14ac:dyDescent="0.15">
      <c r="A15" s="2">
        <v>55</v>
      </c>
      <c r="B15" s="2">
        <v>35.5</v>
      </c>
      <c r="C15" s="7">
        <f t="shared" si="0"/>
        <v>0.74986005468455708</v>
      </c>
      <c r="D15" s="8"/>
    </row>
    <row r="16" spans="1:13" ht="15.75" customHeight="1" x14ac:dyDescent="0.15">
      <c r="A16" s="2">
        <v>60</v>
      </c>
      <c r="B16" s="2">
        <v>28</v>
      </c>
      <c r="C16" s="7">
        <f t="shared" si="0"/>
        <v>0.22645867793934582</v>
      </c>
      <c r="D16" s="8"/>
    </row>
    <row r="17" spans="1:3" ht="15.75" customHeight="1" x14ac:dyDescent="0.15">
      <c r="A17" s="2">
        <v>65</v>
      </c>
      <c r="B17" s="2">
        <v>38.9</v>
      </c>
      <c r="C17" s="7">
        <f t="shared" si="0"/>
        <v>0.98713534547571935</v>
      </c>
    </row>
    <row r="18" spans="1:3" ht="15.75" customHeight="1" x14ac:dyDescent="0.15">
      <c r="A18" s="2">
        <v>70</v>
      </c>
      <c r="B18" s="2">
        <v>40.6</v>
      </c>
      <c r="C18" s="7">
        <f t="shared" si="0"/>
        <v>1.1057729908713008</v>
      </c>
    </row>
    <row r="19" spans="1:3" ht="15.75" customHeight="1" x14ac:dyDescent="0.15">
      <c r="A19" s="2">
        <v>75</v>
      </c>
      <c r="B19" s="2">
        <v>40.9</v>
      </c>
      <c r="C19" s="7">
        <f t="shared" si="0"/>
        <v>1.1267090459411091</v>
      </c>
    </row>
    <row r="20" spans="1:3" ht="15.75" customHeight="1" x14ac:dyDescent="0.15">
      <c r="A20" s="2">
        <v>80</v>
      </c>
      <c r="B20" s="2">
        <v>43.8</v>
      </c>
      <c r="C20" s="7">
        <f t="shared" si="0"/>
        <v>1.329090911615924</v>
      </c>
    </row>
    <row r="21" spans="1:3" ht="15.75" customHeight="1" x14ac:dyDescent="0.15">
      <c r="A21" s="2">
        <v>85</v>
      </c>
      <c r="B21" s="2">
        <v>50</v>
      </c>
      <c r="C21" s="7">
        <f t="shared" si="0"/>
        <v>1.7617693830586321</v>
      </c>
    </row>
    <row r="22" spans="1:3" ht="15.75" customHeight="1" x14ac:dyDescent="0.15">
      <c r="A22" s="2">
        <v>90</v>
      </c>
      <c r="B22" s="2">
        <v>46</v>
      </c>
      <c r="C22" s="7">
        <f t="shared" si="0"/>
        <v>1.4826219821278528</v>
      </c>
    </row>
    <row r="23" spans="1:3" ht="15.75" customHeight="1" x14ac:dyDescent="0.15">
      <c r="A23" s="2">
        <v>95</v>
      </c>
      <c r="B23" s="2">
        <v>53.4</v>
      </c>
      <c r="C23" s="7">
        <f t="shared" si="0"/>
        <v>1.9990446738497945</v>
      </c>
    </row>
    <row r="24" spans="1:3" ht="15.75" customHeight="1" x14ac:dyDescent="0.15">
      <c r="A24" s="2">
        <v>100</v>
      </c>
      <c r="B24" s="2">
        <v>55.1</v>
      </c>
      <c r="C24" s="7">
        <f t="shared" si="0"/>
        <v>2.1176823192453758</v>
      </c>
    </row>
    <row r="25" spans="1:3" ht="15.75" customHeight="1" x14ac:dyDescent="0.15">
      <c r="A25" s="2">
        <v>105</v>
      </c>
      <c r="B25" s="2">
        <v>56.3</v>
      </c>
      <c r="C25" s="7">
        <f t="shared" si="0"/>
        <v>2.2014265395246095</v>
      </c>
    </row>
    <row r="26" spans="1:3" ht="15.75" customHeight="1" x14ac:dyDescent="0.15">
      <c r="A26" s="2">
        <v>110</v>
      </c>
      <c r="B26" s="2">
        <v>51.8</v>
      </c>
      <c r="C26" s="7">
        <f t="shared" si="0"/>
        <v>1.8873857134774827</v>
      </c>
    </row>
    <row r="27" spans="1:3" ht="15.75" customHeight="1" x14ac:dyDescent="0.15">
      <c r="A27" s="2">
        <v>115</v>
      </c>
      <c r="B27" s="2">
        <v>55.8</v>
      </c>
      <c r="C27" s="7">
        <f t="shared" si="0"/>
        <v>2.1665331144082618</v>
      </c>
    </row>
    <row r="28" spans="1:3" ht="15.75" customHeight="1" x14ac:dyDescent="0.15">
      <c r="A28" s="2">
        <v>120</v>
      </c>
      <c r="B28" s="2">
        <v>56</v>
      </c>
      <c r="C28" s="7">
        <f t="shared" si="0"/>
        <v>2.180490484454801</v>
      </c>
    </row>
    <row r="29" spans="1:3" ht="15.75" customHeight="1" x14ac:dyDescent="0.15">
      <c r="A29" s="2">
        <v>135</v>
      </c>
      <c r="B29" s="2">
        <v>60.6</v>
      </c>
      <c r="C29" s="7">
        <f t="shared" si="0"/>
        <v>2.5015099955251974</v>
      </c>
    </row>
    <row r="30" spans="1:3" ht="15.75" customHeight="1" x14ac:dyDescent="0.15">
      <c r="A30" s="2">
        <v>150</v>
      </c>
      <c r="B30" s="2">
        <v>70.5</v>
      </c>
      <c r="C30" s="7">
        <f t="shared" si="0"/>
        <v>3.1923998128288762</v>
      </c>
    </row>
    <row r="31" spans="1:3" ht="15.75" customHeight="1" x14ac:dyDescent="0.15">
      <c r="A31" s="2">
        <v>165</v>
      </c>
      <c r="B31" s="2">
        <v>67</v>
      </c>
      <c r="C31" s="7">
        <f t="shared" si="0"/>
        <v>2.9481458370144442</v>
      </c>
    </row>
    <row r="32" spans="1:3" ht="15.75" customHeight="1" x14ac:dyDescent="0.15">
      <c r="A32" s="2">
        <v>180</v>
      </c>
      <c r="B32" s="2">
        <v>76.7</v>
      </c>
      <c r="C32" s="7">
        <f t="shared" si="0"/>
        <v>3.6250782842715843</v>
      </c>
    </row>
    <row r="33" spans="1:13" ht="15.75" customHeight="1" x14ac:dyDescent="0.15">
      <c r="A33" s="2">
        <v>340</v>
      </c>
      <c r="B33" s="2">
        <v>111.2</v>
      </c>
      <c r="C33" s="7">
        <f t="shared" si="0"/>
        <v>6.0327246172995563</v>
      </c>
    </row>
    <row r="37" spans="1:13" ht="15.75" customHeight="1" x14ac:dyDescent="0.1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</row>
    <row r="38" spans="1:13" ht="15.75" customHeight="1" x14ac:dyDescent="0.15">
      <c r="E38" s="36" t="s">
        <v>19</v>
      </c>
      <c r="F38" s="35"/>
    </row>
    <row r="39" spans="1:13" ht="15.75" customHeight="1" x14ac:dyDescent="0.15">
      <c r="E39" s="2" t="s">
        <v>9</v>
      </c>
      <c r="F39" s="2">
        <v>14.452999999999999</v>
      </c>
      <c r="J39" s="2" t="s">
        <v>20</v>
      </c>
    </row>
    <row r="40" spans="1:13" ht="15.75" customHeight="1" x14ac:dyDescent="0.15">
      <c r="E40" s="2" t="s">
        <v>11</v>
      </c>
      <c r="F40" s="2">
        <v>24.02</v>
      </c>
    </row>
    <row r="41" spans="1:13" ht="15.75" customHeight="1" x14ac:dyDescent="0.15">
      <c r="A41" s="4" t="s">
        <v>3</v>
      </c>
      <c r="B41" s="4" t="s">
        <v>4</v>
      </c>
      <c r="C41" s="4" t="s">
        <v>5</v>
      </c>
      <c r="J41" s="2" t="s">
        <v>21</v>
      </c>
      <c r="L41" s="2">
        <f>50/250*1000</f>
        <v>200</v>
      </c>
      <c r="M41" s="2" t="s">
        <v>22</v>
      </c>
    </row>
    <row r="42" spans="1:13" ht="15.75" customHeight="1" x14ac:dyDescent="0.15">
      <c r="A42" s="2">
        <v>2.5</v>
      </c>
      <c r="B42" s="2">
        <v>265.7</v>
      </c>
      <c r="C42" s="7">
        <f t="shared" ref="C42:C64" si="1">(B42-$F$40)/$F$39</f>
        <v>16.721787864111256</v>
      </c>
    </row>
    <row r="43" spans="1:13" ht="15.75" customHeight="1" x14ac:dyDescent="0.15">
      <c r="A43" s="2">
        <v>5</v>
      </c>
      <c r="B43" s="2">
        <v>444.8</v>
      </c>
      <c r="C43" s="7">
        <f t="shared" si="1"/>
        <v>29.113678821006022</v>
      </c>
    </row>
    <row r="44" spans="1:13" ht="15.75" customHeight="1" x14ac:dyDescent="0.15">
      <c r="A44" s="2">
        <v>7.5</v>
      </c>
      <c r="B44" s="2">
        <v>569</v>
      </c>
      <c r="C44" s="7">
        <f t="shared" si="1"/>
        <v>37.707050439355157</v>
      </c>
    </row>
    <row r="45" spans="1:13" ht="15.75" customHeight="1" x14ac:dyDescent="0.15">
      <c r="A45" s="2">
        <v>10</v>
      </c>
      <c r="B45" s="2">
        <v>644.6</v>
      </c>
      <c r="C45" s="7">
        <f t="shared" si="1"/>
        <v>42.937798380958974</v>
      </c>
    </row>
    <row r="46" spans="1:13" ht="15.75" customHeight="1" x14ac:dyDescent="0.15">
      <c r="A46" s="2">
        <v>15</v>
      </c>
      <c r="B46" s="2">
        <v>818</v>
      </c>
      <c r="C46" s="7">
        <f t="shared" si="1"/>
        <v>54.935307548605827</v>
      </c>
    </row>
    <row r="47" spans="1:13" ht="15.75" customHeight="1" x14ac:dyDescent="0.15">
      <c r="A47" s="2">
        <v>20</v>
      </c>
      <c r="B47" s="2">
        <v>931.5</v>
      </c>
      <c r="C47" s="7">
        <f t="shared" si="1"/>
        <v>62.788348439770296</v>
      </c>
    </row>
    <row r="48" spans="1:13" ht="15.75" customHeight="1" x14ac:dyDescent="0.15">
      <c r="A48" s="2">
        <v>25</v>
      </c>
      <c r="B48" s="2">
        <v>1029</v>
      </c>
      <c r="C48" s="7">
        <f t="shared" si="1"/>
        <v>69.534352729537119</v>
      </c>
    </row>
    <row r="49" spans="1:3" ht="15.75" customHeight="1" x14ac:dyDescent="0.15">
      <c r="A49" s="2">
        <v>30</v>
      </c>
      <c r="B49" s="2">
        <v>1091.9000000000001</v>
      </c>
      <c r="C49" s="7">
        <f t="shared" si="1"/>
        <v>73.886390368781576</v>
      </c>
    </row>
    <row r="50" spans="1:3" ht="15.75" customHeight="1" x14ac:dyDescent="0.15">
      <c r="A50" s="2">
        <v>40</v>
      </c>
      <c r="B50" s="2">
        <v>1190.3</v>
      </c>
      <c r="C50" s="7">
        <f t="shared" si="1"/>
        <v>80.694665467377021</v>
      </c>
    </row>
    <row r="51" spans="1:3" ht="15.75" customHeight="1" x14ac:dyDescent="0.15">
      <c r="A51" s="2">
        <v>50</v>
      </c>
      <c r="B51" s="2">
        <v>1297.3</v>
      </c>
      <c r="C51" s="7">
        <f t="shared" si="1"/>
        <v>88.097972739223692</v>
      </c>
    </row>
    <row r="52" spans="1:3" ht="15.75" customHeight="1" x14ac:dyDescent="0.15">
      <c r="A52" s="2">
        <v>60</v>
      </c>
      <c r="B52" s="2">
        <v>1371.8</v>
      </c>
      <c r="C52" s="7">
        <f t="shared" si="1"/>
        <v>93.25261191448142</v>
      </c>
    </row>
    <row r="53" spans="1:3" ht="15.75" customHeight="1" x14ac:dyDescent="0.15">
      <c r="A53" s="2">
        <v>75</v>
      </c>
      <c r="B53" s="2">
        <v>1413.9</v>
      </c>
      <c r="C53" s="7">
        <f t="shared" si="1"/>
        <v>96.165501971908952</v>
      </c>
    </row>
    <row r="54" spans="1:3" ht="15.75" customHeight="1" x14ac:dyDescent="0.15">
      <c r="A54" s="2">
        <v>90</v>
      </c>
      <c r="B54" s="2">
        <v>1523.5</v>
      </c>
      <c r="C54" s="7">
        <f t="shared" si="1"/>
        <v>103.74870269148275</v>
      </c>
    </row>
    <row r="55" spans="1:3" ht="15.75" customHeight="1" x14ac:dyDescent="0.15">
      <c r="A55" s="2">
        <v>105</v>
      </c>
      <c r="B55" s="2">
        <v>1584</v>
      </c>
      <c r="C55" s="7">
        <f t="shared" si="1"/>
        <v>107.93468484051755</v>
      </c>
    </row>
    <row r="56" spans="1:3" ht="15.75" customHeight="1" x14ac:dyDescent="0.15">
      <c r="A56" s="2">
        <v>120</v>
      </c>
      <c r="B56" s="2">
        <v>1578.3</v>
      </c>
      <c r="C56" s="7">
        <f t="shared" si="1"/>
        <v>107.54030305126963</v>
      </c>
    </row>
    <row r="57" spans="1:3" ht="15.75" customHeight="1" x14ac:dyDescent="0.15">
      <c r="A57" s="2">
        <v>135</v>
      </c>
      <c r="B57" s="2">
        <v>1667.2</v>
      </c>
      <c r="C57" s="7">
        <f t="shared" si="1"/>
        <v>113.69127516778525</v>
      </c>
    </row>
    <row r="58" spans="1:3" ht="15.75" customHeight="1" x14ac:dyDescent="0.15">
      <c r="A58" s="2">
        <v>150</v>
      </c>
      <c r="B58" s="2">
        <v>1664.2</v>
      </c>
      <c r="C58" s="7">
        <f t="shared" si="1"/>
        <v>113.48370580502319</v>
      </c>
    </row>
    <row r="59" spans="1:3" ht="15.75" customHeight="1" x14ac:dyDescent="0.15">
      <c r="A59" s="2">
        <v>165</v>
      </c>
      <c r="B59" s="2">
        <v>1700.5</v>
      </c>
      <c r="C59" s="7">
        <f t="shared" si="1"/>
        <v>115.99529509444406</v>
      </c>
    </row>
    <row r="60" spans="1:3" ht="15.75" customHeight="1" x14ac:dyDescent="0.15">
      <c r="A60" s="2">
        <v>180</v>
      </c>
      <c r="B60" s="2">
        <v>1761.8</v>
      </c>
      <c r="C60" s="7">
        <f t="shared" si="1"/>
        <v>120.23662907354874</v>
      </c>
    </row>
    <row r="61" spans="1:3" ht="15.75" customHeight="1" x14ac:dyDescent="0.15">
      <c r="A61" s="2">
        <v>195</v>
      </c>
      <c r="B61" s="2">
        <v>1795.2</v>
      </c>
      <c r="C61" s="7">
        <f t="shared" si="1"/>
        <v>122.54756797896631</v>
      </c>
    </row>
    <row r="62" spans="1:3" ht="15.75" customHeight="1" x14ac:dyDescent="0.15">
      <c r="A62" s="2">
        <v>210</v>
      </c>
      <c r="B62" s="2">
        <v>1816.3</v>
      </c>
      <c r="C62" s="7">
        <f t="shared" si="1"/>
        <v>124.00747249705944</v>
      </c>
    </row>
    <row r="63" spans="1:3" ht="15.75" customHeight="1" x14ac:dyDescent="0.15">
      <c r="A63" s="2">
        <v>225</v>
      </c>
      <c r="B63" s="2">
        <v>1823.8</v>
      </c>
      <c r="C63" s="7">
        <f t="shared" si="1"/>
        <v>124.52639590396458</v>
      </c>
    </row>
    <row r="64" spans="1:3" ht="15.75" customHeight="1" x14ac:dyDescent="0.15">
      <c r="A64" s="2">
        <v>240</v>
      </c>
      <c r="B64" s="2">
        <v>1829.5</v>
      </c>
      <c r="C64" s="7">
        <f t="shared" si="1"/>
        <v>124.92077769321249</v>
      </c>
    </row>
    <row r="65" spans="1:13" ht="15.75" customHeight="1" x14ac:dyDescent="0.15">
      <c r="C65" s="7"/>
    </row>
    <row r="66" spans="1:13" ht="15.75" customHeight="1" x14ac:dyDescent="0.15">
      <c r="C66" s="7"/>
    </row>
    <row r="67" spans="1:13" ht="15.75" customHeight="1" x14ac:dyDescent="0.15">
      <c r="C67" s="7"/>
    </row>
    <row r="68" spans="1:13" ht="15.75" customHeight="1" x14ac:dyDescent="0.1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</row>
    <row r="69" spans="1:13" ht="15.75" customHeight="1" x14ac:dyDescent="0.15">
      <c r="E69" s="36" t="s">
        <v>19</v>
      </c>
      <c r="F69" s="35"/>
      <c r="J69" s="2" t="s">
        <v>23</v>
      </c>
    </row>
    <row r="70" spans="1:13" ht="15.75" customHeight="1" x14ac:dyDescent="0.15">
      <c r="E70" s="2" t="s">
        <v>9</v>
      </c>
      <c r="F70" s="2">
        <v>14.452999999999999</v>
      </c>
      <c r="J70" s="2" t="s">
        <v>24</v>
      </c>
    </row>
    <row r="71" spans="1:13" ht="15.75" customHeight="1" x14ac:dyDescent="0.15">
      <c r="E71" s="2" t="s">
        <v>11</v>
      </c>
      <c r="F71" s="2">
        <v>24.02</v>
      </c>
    </row>
    <row r="72" spans="1:13" ht="15.75" customHeight="1" x14ac:dyDescent="0.15">
      <c r="A72" s="4" t="s">
        <v>3</v>
      </c>
      <c r="B72" s="4" t="s">
        <v>4</v>
      </c>
      <c r="C72" s="4" t="s">
        <v>5</v>
      </c>
      <c r="D72" s="2" t="s">
        <v>25</v>
      </c>
      <c r="J72" s="2" t="s">
        <v>21</v>
      </c>
      <c r="L72" s="2">
        <f>50/250*1000</f>
        <v>200</v>
      </c>
      <c r="M72" s="2" t="s">
        <v>22</v>
      </c>
    </row>
    <row r="73" spans="1:13" ht="15.75" customHeight="1" x14ac:dyDescent="0.15">
      <c r="A73" s="2">
        <v>2.5</v>
      </c>
      <c r="B73" s="2">
        <v>161.19999999999999</v>
      </c>
      <c r="C73" s="7">
        <f t="shared" ref="C73:C95" si="2">(B73-$F$40)/$F$39</f>
        <v>9.4914550612329602</v>
      </c>
      <c r="D73" s="10">
        <f t="shared" ref="D73:D95" si="3">C73/(C42)</f>
        <v>0.56761006289308169</v>
      </c>
    </row>
    <row r="74" spans="1:13" ht="15.75" customHeight="1" x14ac:dyDescent="0.15">
      <c r="A74" s="2">
        <v>5</v>
      </c>
      <c r="B74" s="2">
        <v>187.3</v>
      </c>
      <c r="C74" s="7">
        <f t="shared" si="2"/>
        <v>11.297308517262852</v>
      </c>
      <c r="D74" s="10">
        <f t="shared" si="3"/>
        <v>0.38804125671372208</v>
      </c>
    </row>
    <row r="75" spans="1:13" ht="15.75" customHeight="1" x14ac:dyDescent="0.15">
      <c r="A75" s="2">
        <v>7.5</v>
      </c>
      <c r="B75" s="2">
        <v>262.10000000000002</v>
      </c>
      <c r="C75" s="7">
        <f t="shared" si="2"/>
        <v>16.472704628796791</v>
      </c>
      <c r="D75" s="10">
        <f t="shared" si="3"/>
        <v>0.43686006825938561</v>
      </c>
    </row>
    <row r="76" spans="1:13" ht="15.75" customHeight="1" x14ac:dyDescent="0.15">
      <c r="A76" s="2">
        <v>10</v>
      </c>
      <c r="B76" s="2">
        <v>326.10000000000002</v>
      </c>
      <c r="C76" s="7">
        <f t="shared" si="2"/>
        <v>20.90085103438733</v>
      </c>
      <c r="D76" s="10">
        <f t="shared" si="3"/>
        <v>0.48677044055560936</v>
      </c>
    </row>
    <row r="77" spans="1:13" ht="15.75" customHeight="1" x14ac:dyDescent="0.15">
      <c r="A77" s="2">
        <v>15</v>
      </c>
      <c r="B77" s="2">
        <v>452.2</v>
      </c>
      <c r="C77" s="7">
        <f t="shared" si="2"/>
        <v>29.625683249152427</v>
      </c>
      <c r="D77" s="10">
        <f t="shared" si="3"/>
        <v>0.53928310536789337</v>
      </c>
    </row>
    <row r="78" spans="1:13" ht="15.75" customHeight="1" x14ac:dyDescent="0.15">
      <c r="A78" s="2">
        <v>20</v>
      </c>
      <c r="B78" s="2">
        <v>559.1</v>
      </c>
      <c r="C78" s="7">
        <f t="shared" si="2"/>
        <v>37.022071542240369</v>
      </c>
      <c r="D78" s="10">
        <f t="shared" si="3"/>
        <v>0.58963282937365014</v>
      </c>
    </row>
    <row r="79" spans="1:13" ht="15.75" customHeight="1" x14ac:dyDescent="0.15">
      <c r="A79" s="2">
        <v>25</v>
      </c>
      <c r="B79" s="2">
        <v>668</v>
      </c>
      <c r="C79" s="7">
        <f t="shared" si="2"/>
        <v>44.556839410503009</v>
      </c>
      <c r="D79" s="10">
        <f t="shared" si="3"/>
        <v>0.64078887142032681</v>
      </c>
    </row>
    <row r="80" spans="1:13" ht="15.75" customHeight="1" x14ac:dyDescent="0.15">
      <c r="A80" s="2">
        <v>30</v>
      </c>
      <c r="B80" s="2">
        <v>746.5</v>
      </c>
      <c r="C80" s="7">
        <f t="shared" si="2"/>
        <v>49.98823773611015</v>
      </c>
      <c r="D80" s="10">
        <f t="shared" si="3"/>
        <v>0.676555418211784</v>
      </c>
    </row>
    <row r="81" spans="1:4" ht="13" x14ac:dyDescent="0.15">
      <c r="A81" s="2">
        <v>40</v>
      </c>
      <c r="B81" s="2">
        <v>902.5</v>
      </c>
      <c r="C81" s="7">
        <f t="shared" si="2"/>
        <v>60.781844599737084</v>
      </c>
      <c r="D81" s="10">
        <f t="shared" si="3"/>
        <v>0.75323249991425734</v>
      </c>
    </row>
    <row r="82" spans="1:4" ht="13" x14ac:dyDescent="0.15">
      <c r="A82" s="2">
        <v>50</v>
      </c>
      <c r="B82" s="2">
        <v>1002.3</v>
      </c>
      <c r="C82" s="7">
        <f t="shared" si="2"/>
        <v>67.686985400954825</v>
      </c>
      <c r="D82" s="10">
        <f t="shared" si="3"/>
        <v>0.76831490324202067</v>
      </c>
    </row>
    <row r="83" spans="1:4" ht="13" x14ac:dyDescent="0.15">
      <c r="A83" s="2">
        <v>60</v>
      </c>
      <c r="B83" s="2">
        <v>1123.0999999999999</v>
      </c>
      <c r="C83" s="7">
        <f t="shared" si="2"/>
        <v>76.045111741506958</v>
      </c>
      <c r="D83" s="10">
        <f t="shared" si="3"/>
        <v>0.81547433557405513</v>
      </c>
    </row>
    <row r="84" spans="1:4" ht="13" x14ac:dyDescent="0.15">
      <c r="A84" s="2">
        <v>75</v>
      </c>
      <c r="B84" s="2">
        <v>1279.8</v>
      </c>
      <c r="C84" s="7">
        <f t="shared" si="2"/>
        <v>86.887151456445025</v>
      </c>
      <c r="D84" s="10">
        <f t="shared" si="3"/>
        <v>0.90351685037557194</v>
      </c>
    </row>
    <row r="85" spans="1:4" ht="13" x14ac:dyDescent="0.15">
      <c r="A85" s="2">
        <v>90</v>
      </c>
      <c r="B85" s="2">
        <v>1389.4</v>
      </c>
      <c r="C85" s="7">
        <f t="shared" si="2"/>
        <v>94.470352176018835</v>
      </c>
      <c r="D85" s="10">
        <f t="shared" si="3"/>
        <v>0.91056899725238083</v>
      </c>
    </row>
    <row r="86" spans="1:4" ht="13" x14ac:dyDescent="0.15">
      <c r="A86" s="2">
        <v>105</v>
      </c>
      <c r="B86" s="2">
        <v>1490</v>
      </c>
      <c r="C86" s="7">
        <f t="shared" si="2"/>
        <v>101.43084480730644</v>
      </c>
      <c r="D86" s="10">
        <f t="shared" si="3"/>
        <v>0.93974281721560526</v>
      </c>
    </row>
    <row r="87" spans="1:4" ht="13" x14ac:dyDescent="0.15">
      <c r="A87" s="2">
        <v>120</v>
      </c>
      <c r="B87" s="2">
        <v>1615.2</v>
      </c>
      <c r="C87" s="7">
        <f t="shared" si="2"/>
        <v>110.09340621324293</v>
      </c>
      <c r="D87" s="10">
        <f t="shared" si="3"/>
        <v>1.0237408961062358</v>
      </c>
    </row>
    <row r="88" spans="1:4" ht="13" x14ac:dyDescent="0.15">
      <c r="A88" s="2">
        <v>135</v>
      </c>
      <c r="B88" s="2">
        <v>1698.1</v>
      </c>
      <c r="C88" s="7">
        <f t="shared" si="2"/>
        <v>115.82923960423442</v>
      </c>
      <c r="D88" s="10">
        <f t="shared" si="3"/>
        <v>1.0188050000608575</v>
      </c>
    </row>
    <row r="89" spans="1:4" ht="13" x14ac:dyDescent="0.15">
      <c r="A89" s="2">
        <v>150</v>
      </c>
      <c r="B89" s="2">
        <v>1756.7</v>
      </c>
      <c r="C89" s="7">
        <f t="shared" si="2"/>
        <v>119.88376115685325</v>
      </c>
      <c r="D89" s="10">
        <f t="shared" si="3"/>
        <v>1.0563962491921617</v>
      </c>
    </row>
    <row r="90" spans="1:4" ht="13" x14ac:dyDescent="0.15">
      <c r="A90" s="2">
        <v>165</v>
      </c>
      <c r="B90" s="2">
        <v>1838.6</v>
      </c>
      <c r="C90" s="7">
        <f t="shared" si="2"/>
        <v>125.55040476025738</v>
      </c>
      <c r="D90" s="10">
        <f t="shared" si="3"/>
        <v>1.0823749761404848</v>
      </c>
    </row>
    <row r="91" spans="1:4" ht="13" x14ac:dyDescent="0.15">
      <c r="A91" s="2">
        <v>180</v>
      </c>
      <c r="B91" s="2">
        <v>1933.7</v>
      </c>
      <c r="C91" s="7">
        <f t="shared" si="2"/>
        <v>132.13035355981458</v>
      </c>
      <c r="D91" s="10">
        <f t="shared" si="3"/>
        <v>1.0989193108448712</v>
      </c>
    </row>
    <row r="92" spans="1:4" ht="13" x14ac:dyDescent="0.15">
      <c r="A92" s="2">
        <v>195</v>
      </c>
      <c r="B92" s="2">
        <v>1993.5</v>
      </c>
      <c r="C92" s="7">
        <f t="shared" si="2"/>
        <v>136.26790285753825</v>
      </c>
      <c r="D92" s="10">
        <f t="shared" si="3"/>
        <v>1.1119592587992186</v>
      </c>
    </row>
    <row r="93" spans="1:4" ht="13" x14ac:dyDescent="0.15">
      <c r="A93" s="2">
        <v>210</v>
      </c>
      <c r="B93" s="2">
        <v>2049.8000000000002</v>
      </c>
      <c r="C93" s="7">
        <f t="shared" si="2"/>
        <v>140.16328789870616</v>
      </c>
      <c r="D93" s="10">
        <f t="shared" si="3"/>
        <v>1.130280982882139</v>
      </c>
    </row>
    <row r="94" spans="1:4" ht="13" x14ac:dyDescent="0.15">
      <c r="A94" s="2">
        <v>225</v>
      </c>
      <c r="B94" s="2">
        <v>2079.8000000000002</v>
      </c>
      <c r="C94" s="7">
        <f t="shared" si="2"/>
        <v>142.23898152632674</v>
      </c>
      <c r="D94" s="10">
        <f t="shared" si="3"/>
        <v>1.1422396070630856</v>
      </c>
    </row>
    <row r="95" spans="1:4" ht="13" x14ac:dyDescent="0.15">
      <c r="A95" s="2">
        <v>240</v>
      </c>
      <c r="B95" s="2">
        <v>2121.1</v>
      </c>
      <c r="C95" s="7">
        <f t="shared" si="2"/>
        <v>145.09651975368436</v>
      </c>
      <c r="D95" s="10">
        <f t="shared" si="3"/>
        <v>1.1615082969625805</v>
      </c>
    </row>
    <row r="96" spans="1:4" ht="13" x14ac:dyDescent="0.15">
      <c r="C96" s="7"/>
    </row>
    <row r="97" spans="1:10" ht="13" x14ac:dyDescent="0.15">
      <c r="C97" s="7"/>
    </row>
    <row r="100" spans="1:10" ht="13" x14ac:dyDescent="0.15">
      <c r="A100" s="11"/>
      <c r="B100" s="11"/>
      <c r="C100" s="11"/>
      <c r="D100" s="11"/>
      <c r="E100" s="11"/>
      <c r="F100" s="11"/>
      <c r="G100" s="11"/>
      <c r="H100" s="11"/>
      <c r="I100" s="11"/>
      <c r="J100" s="11"/>
    </row>
    <row r="105" spans="1:10" ht="13" x14ac:dyDescent="0.15">
      <c r="H105" s="2" t="s">
        <v>26</v>
      </c>
    </row>
    <row r="106" spans="1:10" ht="13" x14ac:dyDescent="0.15">
      <c r="A106" s="4" t="s">
        <v>3</v>
      </c>
      <c r="B106" s="4" t="s">
        <v>4</v>
      </c>
      <c r="C106" s="4" t="s">
        <v>5</v>
      </c>
      <c r="D106" s="2" t="s">
        <v>25</v>
      </c>
    </row>
    <row r="107" spans="1:10" ht="13" x14ac:dyDescent="0.15">
      <c r="A107" s="2">
        <v>2.5</v>
      </c>
      <c r="B107" s="2">
        <v>99.4</v>
      </c>
      <c r="C107" s="7">
        <f t="shared" ref="C107:C129" si="4">(B107-$F$40)/$F$39</f>
        <v>5.2155261883346027</v>
      </c>
      <c r="D107" s="10">
        <f t="shared" ref="D107:D129" si="5">C107/(C73)</f>
        <v>0.54949701122612649</v>
      </c>
    </row>
    <row r="108" spans="1:10" ht="13" x14ac:dyDescent="0.15">
      <c r="A108" s="2">
        <v>5</v>
      </c>
      <c r="B108" s="2">
        <v>27.5</v>
      </c>
      <c r="C108" s="7">
        <f t="shared" si="4"/>
        <v>0.24078046080398538</v>
      </c>
      <c r="D108" s="10">
        <f t="shared" si="5"/>
        <v>2.1313081822635967E-2</v>
      </c>
    </row>
    <row r="109" spans="1:10" ht="13" x14ac:dyDescent="0.15">
      <c r="A109" s="2">
        <v>7.5</v>
      </c>
      <c r="B109" s="2">
        <v>26.6</v>
      </c>
      <c r="C109" s="7">
        <f t="shared" si="4"/>
        <v>0.17850965197536858</v>
      </c>
      <c r="D109" s="10">
        <f t="shared" si="5"/>
        <v>1.0836693548387104E-2</v>
      </c>
    </row>
    <row r="110" spans="1:10" ht="13" x14ac:dyDescent="0.15">
      <c r="A110" s="2">
        <v>10</v>
      </c>
      <c r="B110" s="2">
        <v>44.5</v>
      </c>
      <c r="C110" s="7">
        <f t="shared" si="4"/>
        <v>1.4170068497889712</v>
      </c>
      <c r="D110" s="10">
        <f t="shared" si="5"/>
        <v>6.7796610169491511E-2</v>
      </c>
    </row>
    <row r="111" spans="1:10" ht="13" x14ac:dyDescent="0.15">
      <c r="A111" s="2">
        <v>15</v>
      </c>
      <c r="B111" s="2">
        <v>78.8</v>
      </c>
      <c r="C111" s="7">
        <f t="shared" si="4"/>
        <v>3.7902165640351488</v>
      </c>
      <c r="D111" s="10">
        <f t="shared" si="5"/>
        <v>0.12793684898874305</v>
      </c>
    </row>
    <row r="112" spans="1:10" ht="13" x14ac:dyDescent="0.15">
      <c r="A112" s="2">
        <v>20</v>
      </c>
      <c r="B112" s="2">
        <v>120.6</v>
      </c>
      <c r="C112" s="7">
        <f t="shared" si="4"/>
        <v>6.682349685186467</v>
      </c>
      <c r="D112" s="10">
        <f t="shared" si="5"/>
        <v>0.18049637437392541</v>
      </c>
    </row>
    <row r="113" spans="1:4" ht="13" x14ac:dyDescent="0.15">
      <c r="A113" s="2">
        <v>25</v>
      </c>
      <c r="B113" s="2">
        <v>172.4</v>
      </c>
      <c r="C113" s="7">
        <f t="shared" si="4"/>
        <v>10.266380682211306</v>
      </c>
      <c r="D113" s="10">
        <f t="shared" si="5"/>
        <v>0.23041088232553808</v>
      </c>
    </row>
    <row r="114" spans="1:4" ht="13" x14ac:dyDescent="0.15">
      <c r="A114" s="2">
        <v>30</v>
      </c>
      <c r="B114" s="2">
        <v>234.5</v>
      </c>
      <c r="C114" s="7">
        <f t="shared" si="4"/>
        <v>14.563066491385872</v>
      </c>
      <c r="D114" s="10">
        <f t="shared" si="5"/>
        <v>0.29132986380245818</v>
      </c>
    </row>
    <row r="115" spans="1:4" ht="13" x14ac:dyDescent="0.15">
      <c r="A115" s="2">
        <v>40</v>
      </c>
      <c r="B115" s="2">
        <v>343</v>
      </c>
      <c r="C115" s="7">
        <f t="shared" si="4"/>
        <v>22.070158444613575</v>
      </c>
      <c r="D115" s="10">
        <f t="shared" si="5"/>
        <v>0.36310445314634365</v>
      </c>
    </row>
    <row r="116" spans="1:4" ht="13" x14ac:dyDescent="0.15">
      <c r="A116" s="2">
        <v>50</v>
      </c>
      <c r="B116" s="2">
        <v>457.1</v>
      </c>
      <c r="C116" s="7">
        <f t="shared" si="4"/>
        <v>29.964713208330455</v>
      </c>
      <c r="D116" s="10">
        <f t="shared" si="5"/>
        <v>0.44269534284662881</v>
      </c>
    </row>
    <row r="117" spans="1:4" ht="13" x14ac:dyDescent="0.15">
      <c r="A117" s="2">
        <v>60</v>
      </c>
      <c r="B117" s="2">
        <v>551.20000000000005</v>
      </c>
      <c r="C117" s="7">
        <f t="shared" si="4"/>
        <v>36.47547222030029</v>
      </c>
      <c r="D117" s="10">
        <f t="shared" si="5"/>
        <v>0.47965571205007829</v>
      </c>
    </row>
    <row r="118" spans="1:4" ht="13" x14ac:dyDescent="0.15">
      <c r="A118" s="2">
        <v>75</v>
      </c>
      <c r="B118" s="2">
        <v>660.9</v>
      </c>
      <c r="C118" s="7">
        <f t="shared" si="4"/>
        <v>44.065591918632812</v>
      </c>
      <c r="D118" s="10">
        <f t="shared" si="5"/>
        <v>0.50715889725907404</v>
      </c>
    </row>
    <row r="119" spans="1:4" ht="13" x14ac:dyDescent="0.15">
      <c r="A119" s="2">
        <v>90</v>
      </c>
      <c r="B119" s="2">
        <v>763.5</v>
      </c>
      <c r="C119" s="7">
        <f t="shared" si="4"/>
        <v>51.164464125095137</v>
      </c>
      <c r="D119" s="10">
        <f t="shared" si="5"/>
        <v>0.5415928166517745</v>
      </c>
    </row>
    <row r="120" spans="1:4" ht="13" x14ac:dyDescent="0.15">
      <c r="A120" s="2">
        <v>105</v>
      </c>
      <c r="B120" s="2">
        <v>846.3</v>
      </c>
      <c r="C120" s="7">
        <f t="shared" si="4"/>
        <v>56.893378537327891</v>
      </c>
      <c r="D120" s="10">
        <f t="shared" si="5"/>
        <v>0.56090806150152117</v>
      </c>
    </row>
    <row r="121" spans="1:4" ht="13" x14ac:dyDescent="0.15">
      <c r="A121" s="2">
        <v>120</v>
      </c>
      <c r="B121" s="2">
        <v>924.1</v>
      </c>
      <c r="C121" s="7">
        <f t="shared" si="4"/>
        <v>62.276344011623891</v>
      </c>
      <c r="D121" s="10">
        <f t="shared" si="5"/>
        <v>0.56566824620721734</v>
      </c>
    </row>
    <row r="122" spans="1:4" ht="13" x14ac:dyDescent="0.15">
      <c r="A122" s="2">
        <v>135</v>
      </c>
      <c r="B122" s="2">
        <v>1010</v>
      </c>
      <c r="C122" s="7">
        <f t="shared" si="4"/>
        <v>68.219746765377437</v>
      </c>
      <c r="D122" s="10">
        <f t="shared" si="5"/>
        <v>0.58896826913887035</v>
      </c>
    </row>
    <row r="123" spans="1:4" ht="13" x14ac:dyDescent="0.15">
      <c r="A123" s="2">
        <v>150</v>
      </c>
      <c r="B123" s="2">
        <v>1061.7</v>
      </c>
      <c r="C123" s="7">
        <f t="shared" si="4"/>
        <v>71.796858783643543</v>
      </c>
      <c r="D123" s="10">
        <f t="shared" si="5"/>
        <v>0.59888727289516819</v>
      </c>
    </row>
    <row r="124" spans="1:4" ht="13" x14ac:dyDescent="0.15">
      <c r="A124" s="2">
        <v>165</v>
      </c>
      <c r="B124" s="2">
        <v>1148.4000000000001</v>
      </c>
      <c r="C124" s="7">
        <f t="shared" si="4"/>
        <v>77.79561336746697</v>
      </c>
      <c r="D124" s="10">
        <f t="shared" si="5"/>
        <v>0.61963649990631453</v>
      </c>
    </row>
    <row r="125" spans="1:4" ht="13" x14ac:dyDescent="0.15">
      <c r="A125" s="2">
        <v>180</v>
      </c>
      <c r="B125" s="2">
        <v>1220.3</v>
      </c>
      <c r="C125" s="7">
        <f t="shared" si="4"/>
        <v>82.770359094997573</v>
      </c>
      <c r="D125" s="10">
        <f t="shared" si="5"/>
        <v>0.62642955887897445</v>
      </c>
    </row>
    <row r="126" spans="1:4" ht="13" x14ac:dyDescent="0.15">
      <c r="A126" s="2">
        <v>195</v>
      </c>
      <c r="B126" s="2">
        <v>1239.7</v>
      </c>
      <c r="C126" s="7">
        <f t="shared" si="4"/>
        <v>84.112640974192217</v>
      </c>
      <c r="D126" s="10">
        <f t="shared" si="5"/>
        <v>0.6172593781099579</v>
      </c>
    </row>
    <row r="127" spans="1:4" ht="13" x14ac:dyDescent="0.15">
      <c r="A127" s="2">
        <v>210</v>
      </c>
      <c r="B127" s="2">
        <v>1297.2</v>
      </c>
      <c r="C127" s="7">
        <f t="shared" si="4"/>
        <v>88.091053760464959</v>
      </c>
      <c r="D127" s="10">
        <f t="shared" si="5"/>
        <v>0.62848877963056204</v>
      </c>
    </row>
    <row r="128" spans="1:4" ht="13" x14ac:dyDescent="0.15">
      <c r="A128" s="2">
        <v>225</v>
      </c>
      <c r="B128" s="2">
        <v>1374.3</v>
      </c>
      <c r="C128" s="7">
        <f t="shared" si="4"/>
        <v>93.425586383449811</v>
      </c>
      <c r="D128" s="10">
        <f t="shared" si="5"/>
        <v>0.6568212551926762</v>
      </c>
    </row>
    <row r="129" spans="1:13" ht="13" x14ac:dyDescent="0.15">
      <c r="A129" s="2">
        <v>240</v>
      </c>
      <c r="B129" s="2">
        <v>1422.6</v>
      </c>
      <c r="C129" s="7">
        <f t="shared" si="4"/>
        <v>96.767453123918912</v>
      </c>
      <c r="D129" s="10">
        <f t="shared" si="5"/>
        <v>0.66691780952562607</v>
      </c>
    </row>
    <row r="135" spans="1:13" ht="13" x14ac:dyDescent="0.1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</row>
    <row r="138" spans="1:13" ht="13" x14ac:dyDescent="0.15">
      <c r="E138" s="36" t="s">
        <v>19</v>
      </c>
      <c r="F138" s="35"/>
      <c r="J138" s="2" t="s">
        <v>27</v>
      </c>
    </row>
    <row r="139" spans="1:13" ht="13" x14ac:dyDescent="0.15">
      <c r="E139" s="2" t="s">
        <v>9</v>
      </c>
      <c r="F139" s="2">
        <v>14.452999999999999</v>
      </c>
      <c r="J139" s="2" t="s">
        <v>20</v>
      </c>
    </row>
    <row r="140" spans="1:13" ht="13" x14ac:dyDescent="0.15">
      <c r="E140" s="2" t="s">
        <v>11</v>
      </c>
      <c r="F140" s="2">
        <v>24.02</v>
      </c>
      <c r="J140" s="2" t="s">
        <v>28</v>
      </c>
    </row>
    <row r="141" spans="1:13" ht="13" x14ac:dyDescent="0.15">
      <c r="A141" s="4" t="s">
        <v>3</v>
      </c>
      <c r="B141" s="4" t="s">
        <v>4</v>
      </c>
      <c r="C141" s="4" t="s">
        <v>5</v>
      </c>
      <c r="J141" s="2" t="s">
        <v>21</v>
      </c>
      <c r="L141" s="2">
        <f>50/250*1000</f>
        <v>200</v>
      </c>
      <c r="M141" s="2" t="s">
        <v>22</v>
      </c>
    </row>
    <row r="142" spans="1:13" ht="13" x14ac:dyDescent="0.15">
      <c r="A142" s="2">
        <v>2.5</v>
      </c>
      <c r="B142" s="2">
        <v>213.8</v>
      </c>
      <c r="C142" s="7">
        <f t="shared" ref="C142:C164" si="6">(B142-$F$40)/$F$39</f>
        <v>13.130837888327683</v>
      </c>
    </row>
    <row r="143" spans="1:13" ht="13" x14ac:dyDescent="0.15">
      <c r="A143" s="2">
        <v>5</v>
      </c>
      <c r="B143" s="2">
        <v>400.8</v>
      </c>
      <c r="C143" s="7">
        <f t="shared" si="6"/>
        <v>26.069328167162531</v>
      </c>
    </row>
    <row r="144" spans="1:13" ht="13" x14ac:dyDescent="0.15">
      <c r="A144" s="2">
        <v>7.5</v>
      </c>
      <c r="B144" s="2">
        <v>548.4</v>
      </c>
      <c r="C144" s="7">
        <f t="shared" si="6"/>
        <v>36.281740815055699</v>
      </c>
    </row>
    <row r="145" spans="1:3" ht="13" x14ac:dyDescent="0.15">
      <c r="A145" s="2">
        <v>10</v>
      </c>
      <c r="B145" s="2">
        <v>641.9</v>
      </c>
      <c r="C145" s="7">
        <f t="shared" si="6"/>
        <v>42.750985954473123</v>
      </c>
    </row>
    <row r="146" spans="1:3" ht="13" x14ac:dyDescent="0.15">
      <c r="A146" s="2">
        <v>15</v>
      </c>
      <c r="B146" s="2">
        <v>807</v>
      </c>
      <c r="C146" s="7">
        <f t="shared" si="6"/>
        <v>54.174219885144957</v>
      </c>
    </row>
    <row r="147" spans="1:3" ht="13" x14ac:dyDescent="0.15">
      <c r="A147" s="2">
        <v>20</v>
      </c>
      <c r="B147" s="2">
        <v>932.3</v>
      </c>
      <c r="C147" s="7">
        <f t="shared" si="6"/>
        <v>62.84370026984017</v>
      </c>
    </row>
    <row r="148" spans="1:3" ht="13" x14ac:dyDescent="0.15">
      <c r="A148" s="2">
        <v>25</v>
      </c>
      <c r="B148" s="2">
        <v>1021.1</v>
      </c>
      <c r="C148" s="7">
        <f t="shared" si="6"/>
        <v>68.98775340759704</v>
      </c>
    </row>
    <row r="149" spans="1:3" ht="13" x14ac:dyDescent="0.15">
      <c r="A149" s="2">
        <v>30</v>
      </c>
      <c r="B149" s="2">
        <v>1101.7</v>
      </c>
      <c r="C149" s="7">
        <f t="shared" si="6"/>
        <v>74.564450287137632</v>
      </c>
    </row>
    <row r="150" spans="1:3" ht="13" x14ac:dyDescent="0.15">
      <c r="A150" s="2">
        <v>40</v>
      </c>
      <c r="B150" s="2">
        <v>1223</v>
      </c>
      <c r="C150" s="7">
        <f t="shared" si="6"/>
        <v>82.957171521483431</v>
      </c>
    </row>
    <row r="151" spans="1:3" ht="13" x14ac:dyDescent="0.15">
      <c r="A151" s="2">
        <v>50</v>
      </c>
      <c r="B151" s="2">
        <v>1336.5</v>
      </c>
      <c r="C151" s="7">
        <f t="shared" si="6"/>
        <v>90.8102124126479</v>
      </c>
    </row>
    <row r="152" spans="1:3" ht="13" x14ac:dyDescent="0.15">
      <c r="A152" s="2">
        <v>60</v>
      </c>
      <c r="B152" s="2">
        <v>1375.7</v>
      </c>
      <c r="C152" s="7">
        <f t="shared" si="6"/>
        <v>93.522452086072107</v>
      </c>
    </row>
    <row r="153" spans="1:3" ht="13" x14ac:dyDescent="0.15">
      <c r="A153" s="2">
        <v>75</v>
      </c>
      <c r="B153" s="2">
        <v>1500.5</v>
      </c>
      <c r="C153" s="7">
        <f t="shared" si="6"/>
        <v>102.15733757697365</v>
      </c>
    </row>
    <row r="154" spans="1:3" ht="13" x14ac:dyDescent="0.15">
      <c r="A154" s="2">
        <v>90</v>
      </c>
      <c r="B154" s="2">
        <v>1591.2</v>
      </c>
      <c r="C154" s="7">
        <f t="shared" si="6"/>
        <v>108.43285131114648</v>
      </c>
    </row>
    <row r="155" spans="1:3" ht="13" x14ac:dyDescent="0.15">
      <c r="A155" s="2">
        <v>105</v>
      </c>
      <c r="B155" s="2">
        <v>1651.6</v>
      </c>
      <c r="C155" s="7">
        <f t="shared" si="6"/>
        <v>112.61191448142255</v>
      </c>
    </row>
    <row r="156" spans="1:3" ht="13" x14ac:dyDescent="0.15">
      <c r="A156" s="2">
        <v>120</v>
      </c>
      <c r="B156" s="2">
        <v>1708.7</v>
      </c>
      <c r="C156" s="7">
        <f t="shared" si="6"/>
        <v>116.56265135266035</v>
      </c>
    </row>
    <row r="157" spans="1:3" ht="13" x14ac:dyDescent="0.15">
      <c r="A157" s="2">
        <v>135</v>
      </c>
      <c r="B157" s="2">
        <v>1747.8</v>
      </c>
      <c r="C157" s="7">
        <f t="shared" si="6"/>
        <v>119.26797204732581</v>
      </c>
    </row>
    <row r="158" spans="1:3" ht="13" x14ac:dyDescent="0.15">
      <c r="A158" s="2">
        <v>150</v>
      </c>
      <c r="B158" s="2">
        <v>1801</v>
      </c>
      <c r="C158" s="7">
        <f t="shared" si="6"/>
        <v>122.94886874697295</v>
      </c>
    </row>
    <row r="159" spans="1:3" ht="13" x14ac:dyDescent="0.15">
      <c r="A159" s="2">
        <v>165</v>
      </c>
      <c r="B159" s="2">
        <v>1888.3</v>
      </c>
      <c r="C159" s="7">
        <f t="shared" si="6"/>
        <v>128.98913720334878</v>
      </c>
    </row>
    <row r="160" spans="1:3" ht="13" x14ac:dyDescent="0.15">
      <c r="A160" s="2">
        <v>180</v>
      </c>
      <c r="B160" s="2">
        <v>1911</v>
      </c>
      <c r="C160" s="7">
        <f t="shared" si="6"/>
        <v>130.55974538158168</v>
      </c>
    </row>
    <row r="161" spans="1:13" ht="13" x14ac:dyDescent="0.15">
      <c r="A161" s="2">
        <v>195</v>
      </c>
      <c r="B161" s="2">
        <v>1968.3</v>
      </c>
      <c r="C161" s="7">
        <f t="shared" si="6"/>
        <v>134.52432021033695</v>
      </c>
    </row>
    <row r="162" spans="1:13" ht="13" x14ac:dyDescent="0.15">
      <c r="A162" s="2">
        <v>210</v>
      </c>
      <c r="B162" s="2">
        <v>2041.1</v>
      </c>
      <c r="C162" s="7">
        <f t="shared" si="6"/>
        <v>139.56133674669618</v>
      </c>
    </row>
    <row r="163" spans="1:13" ht="13" x14ac:dyDescent="0.15">
      <c r="A163" s="2">
        <v>225</v>
      </c>
      <c r="B163" s="2">
        <v>2057.5</v>
      </c>
      <c r="C163" s="7">
        <f t="shared" si="6"/>
        <v>140.69604926312877</v>
      </c>
    </row>
    <row r="164" spans="1:13" ht="13" x14ac:dyDescent="0.15">
      <c r="A164" s="2">
        <v>240</v>
      </c>
      <c r="B164" s="2">
        <v>2086.1999999999998</v>
      </c>
      <c r="C164" s="7">
        <f t="shared" si="6"/>
        <v>142.68179616688576</v>
      </c>
    </row>
    <row r="165" spans="1:13" ht="13" x14ac:dyDescent="0.15">
      <c r="C165" s="7"/>
    </row>
    <row r="169" spans="1:13" ht="13" x14ac:dyDescent="0.1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</row>
    <row r="172" spans="1:13" ht="13" x14ac:dyDescent="0.15">
      <c r="J172" s="2" t="s">
        <v>27</v>
      </c>
    </row>
    <row r="173" spans="1:13" ht="13" x14ac:dyDescent="0.15">
      <c r="E173" s="36" t="s">
        <v>19</v>
      </c>
      <c r="F173" s="35"/>
      <c r="J173" s="2" t="s">
        <v>24</v>
      </c>
    </row>
    <row r="174" spans="1:13" ht="13" x14ac:dyDescent="0.15">
      <c r="E174" s="2" t="s">
        <v>9</v>
      </c>
      <c r="F174" s="2">
        <v>14.452999999999999</v>
      </c>
      <c r="J174" s="2" t="s">
        <v>29</v>
      </c>
    </row>
    <row r="175" spans="1:13" ht="13" x14ac:dyDescent="0.15">
      <c r="E175" s="2" t="s">
        <v>11</v>
      </c>
      <c r="F175" s="2">
        <v>24.02</v>
      </c>
      <c r="J175" s="2" t="s">
        <v>21</v>
      </c>
      <c r="L175" s="2">
        <f>50/250*1000</f>
        <v>200</v>
      </c>
      <c r="M175" s="2" t="s">
        <v>22</v>
      </c>
    </row>
    <row r="176" spans="1:13" ht="13" x14ac:dyDescent="0.15">
      <c r="A176" s="4" t="s">
        <v>3</v>
      </c>
      <c r="B176" s="4" t="s">
        <v>4</v>
      </c>
      <c r="C176" s="4" t="s">
        <v>5</v>
      </c>
      <c r="D176" s="2" t="s">
        <v>25</v>
      </c>
    </row>
    <row r="177" spans="1:4" ht="13" x14ac:dyDescent="0.15">
      <c r="A177" s="2">
        <v>2.5</v>
      </c>
      <c r="B177" s="2">
        <v>49.4</v>
      </c>
      <c r="C177" s="7">
        <f t="shared" ref="C177:C199" si="7">(B177-$F$40)/$F$39</f>
        <v>1.7560368089669964</v>
      </c>
      <c r="D177" s="10">
        <f t="shared" ref="D177:D199" si="8">C177/(C73)</f>
        <v>0.18501239247703749</v>
      </c>
    </row>
    <row r="178" spans="1:4" ht="13" x14ac:dyDescent="0.15">
      <c r="A178" s="2">
        <v>5</v>
      </c>
      <c r="B178" s="2">
        <v>96.5</v>
      </c>
      <c r="C178" s="7">
        <f t="shared" si="7"/>
        <v>5.0148758043312816</v>
      </c>
      <c r="D178" s="10">
        <f t="shared" si="8"/>
        <v>0.44390004899559049</v>
      </c>
    </row>
    <row r="179" spans="1:4" ht="13" x14ac:dyDescent="0.15">
      <c r="A179" s="2">
        <v>7.5</v>
      </c>
      <c r="B179" s="2">
        <v>142.19999999999999</v>
      </c>
      <c r="C179" s="7">
        <f t="shared" si="7"/>
        <v>8.176849097073271</v>
      </c>
      <c r="D179" s="10">
        <f t="shared" si="8"/>
        <v>0.4963877688172042</v>
      </c>
    </row>
    <row r="180" spans="1:4" ht="13" x14ac:dyDescent="0.15">
      <c r="A180" s="2">
        <v>10</v>
      </c>
      <c r="B180" s="2">
        <v>185.1</v>
      </c>
      <c r="C180" s="7">
        <f t="shared" si="7"/>
        <v>11.145090984570677</v>
      </c>
      <c r="D180" s="10">
        <f t="shared" si="8"/>
        <v>0.53323622881355914</v>
      </c>
    </row>
    <row r="181" spans="1:4" ht="13" x14ac:dyDescent="0.15">
      <c r="A181" s="2">
        <v>15</v>
      </c>
      <c r="B181" s="2">
        <v>262.7</v>
      </c>
      <c r="C181" s="7">
        <f t="shared" si="7"/>
        <v>16.514218501349202</v>
      </c>
      <c r="D181" s="10">
        <f t="shared" si="8"/>
        <v>0.55742911859498345</v>
      </c>
    </row>
    <row r="182" spans="1:4" ht="13" x14ac:dyDescent="0.15">
      <c r="A182" s="2">
        <v>20</v>
      </c>
      <c r="B182" s="2">
        <v>333.2</v>
      </c>
      <c r="C182" s="7">
        <f t="shared" si="7"/>
        <v>21.392098526257527</v>
      </c>
      <c r="D182" s="10">
        <f t="shared" si="8"/>
        <v>0.57782013904462881</v>
      </c>
    </row>
    <row r="183" spans="1:4" ht="13" x14ac:dyDescent="0.15">
      <c r="A183" s="2">
        <v>25</v>
      </c>
      <c r="B183" s="2">
        <v>405.4</v>
      </c>
      <c r="C183" s="7">
        <f t="shared" si="7"/>
        <v>26.387601190064348</v>
      </c>
      <c r="D183" s="10">
        <f t="shared" si="8"/>
        <v>0.59222336097394335</v>
      </c>
    </row>
    <row r="184" spans="1:4" ht="13" x14ac:dyDescent="0.15">
      <c r="A184" s="2">
        <v>30</v>
      </c>
      <c r="B184" s="2">
        <v>471.9</v>
      </c>
      <c r="C184" s="7">
        <f t="shared" si="7"/>
        <v>30.988722064623264</v>
      </c>
      <c r="D184" s="10">
        <f t="shared" si="8"/>
        <v>0.6199202746096778</v>
      </c>
    </row>
    <row r="185" spans="1:4" ht="13" x14ac:dyDescent="0.15">
      <c r="A185" s="2">
        <v>40</v>
      </c>
      <c r="B185" s="2">
        <v>594.4</v>
      </c>
      <c r="C185" s="7">
        <f t="shared" si="7"/>
        <v>39.464471044073896</v>
      </c>
      <c r="D185" s="10">
        <f t="shared" si="8"/>
        <v>0.64928057553956831</v>
      </c>
    </row>
    <row r="186" spans="1:4" ht="13" x14ac:dyDescent="0.15">
      <c r="A186" s="2">
        <v>50</v>
      </c>
      <c r="B186" s="2">
        <v>702.5</v>
      </c>
      <c r="C186" s="7">
        <f t="shared" si="7"/>
        <v>46.943887082266663</v>
      </c>
      <c r="D186" s="10">
        <f t="shared" si="8"/>
        <v>0.69354377069959527</v>
      </c>
    </row>
    <row r="187" spans="1:4" ht="13" x14ac:dyDescent="0.15">
      <c r="A187" s="2">
        <v>60</v>
      </c>
      <c r="B187" s="2">
        <v>809.8</v>
      </c>
      <c r="C187" s="7">
        <f t="shared" si="7"/>
        <v>54.367951290389541</v>
      </c>
      <c r="D187" s="10">
        <f t="shared" si="8"/>
        <v>0.71494340721330563</v>
      </c>
    </row>
    <row r="188" spans="1:4" ht="13" x14ac:dyDescent="0.15">
      <c r="A188" s="2">
        <v>75</v>
      </c>
      <c r="B188" s="2">
        <v>941.3</v>
      </c>
      <c r="C188" s="7">
        <f t="shared" si="7"/>
        <v>63.466408358126344</v>
      </c>
      <c r="D188" s="10">
        <f t="shared" si="8"/>
        <v>0.73044641577346359</v>
      </c>
    </row>
    <row r="189" spans="1:4" ht="13" x14ac:dyDescent="0.15">
      <c r="A189" s="2">
        <v>90</v>
      </c>
      <c r="B189" s="2">
        <v>1056.9000000000001</v>
      </c>
      <c r="C189" s="7">
        <f t="shared" si="7"/>
        <v>71.464747803224256</v>
      </c>
      <c r="D189" s="10">
        <f t="shared" si="8"/>
        <v>0.75647805006664814</v>
      </c>
    </row>
    <row r="190" spans="1:4" ht="13" x14ac:dyDescent="0.15">
      <c r="A190" s="2">
        <v>105</v>
      </c>
      <c r="B190" s="2">
        <v>1166</v>
      </c>
      <c r="C190" s="7">
        <f t="shared" si="7"/>
        <v>79.013353629004357</v>
      </c>
      <c r="D190" s="10">
        <f t="shared" si="8"/>
        <v>0.77898743502639867</v>
      </c>
    </row>
    <row r="191" spans="1:4" ht="13" x14ac:dyDescent="0.15">
      <c r="A191" s="2">
        <v>120</v>
      </c>
      <c r="B191" s="2">
        <v>1256.5999999999999</v>
      </c>
      <c r="C191" s="7">
        <f t="shared" si="7"/>
        <v>85.281948384418456</v>
      </c>
      <c r="D191" s="10">
        <f t="shared" si="8"/>
        <v>0.77463266255231955</v>
      </c>
    </row>
    <row r="192" spans="1:4" ht="13" x14ac:dyDescent="0.15">
      <c r="A192" s="2">
        <v>135</v>
      </c>
      <c r="B192" s="2">
        <v>1365.9</v>
      </c>
      <c r="C192" s="7">
        <f t="shared" si="7"/>
        <v>92.844392167716052</v>
      </c>
      <c r="D192" s="10">
        <f t="shared" si="8"/>
        <v>0.80156264933575461</v>
      </c>
    </row>
    <row r="193" spans="1:13" ht="13" x14ac:dyDescent="0.15">
      <c r="A193" s="2">
        <v>150</v>
      </c>
      <c r="B193" s="2">
        <v>1442.5</v>
      </c>
      <c r="C193" s="7">
        <f t="shared" si="7"/>
        <v>98.144329896907223</v>
      </c>
      <c r="D193" s="10">
        <f t="shared" si="8"/>
        <v>0.81866241891174363</v>
      </c>
    </row>
    <row r="194" spans="1:13" ht="13" x14ac:dyDescent="0.15">
      <c r="A194" s="2">
        <v>165</v>
      </c>
      <c r="B194" s="2">
        <v>1518.4</v>
      </c>
      <c r="C194" s="7">
        <f t="shared" si="7"/>
        <v>103.39583477478725</v>
      </c>
      <c r="D194" s="10">
        <f t="shared" si="8"/>
        <v>0.82354043359895968</v>
      </c>
    </row>
    <row r="195" spans="1:13" ht="13" x14ac:dyDescent="0.15">
      <c r="A195" s="2">
        <v>180</v>
      </c>
      <c r="B195" s="2">
        <v>1590.3</v>
      </c>
      <c r="C195" s="7">
        <f t="shared" si="7"/>
        <v>108.37058050231786</v>
      </c>
      <c r="D195" s="10">
        <f t="shared" si="8"/>
        <v>0.82017929705500392</v>
      </c>
    </row>
    <row r="196" spans="1:13" ht="13" x14ac:dyDescent="0.15">
      <c r="A196" s="2">
        <v>195</v>
      </c>
      <c r="B196" s="2">
        <v>1655.1</v>
      </c>
      <c r="C196" s="7">
        <f t="shared" si="7"/>
        <v>112.85407873797827</v>
      </c>
      <c r="D196" s="10">
        <f t="shared" si="8"/>
        <v>0.828177996222353</v>
      </c>
    </row>
    <row r="197" spans="1:13" ht="13" x14ac:dyDescent="0.15">
      <c r="A197" s="2">
        <v>210</v>
      </c>
      <c r="B197" s="2">
        <v>1706.8</v>
      </c>
      <c r="C197" s="7">
        <f t="shared" si="7"/>
        <v>116.43119075624438</v>
      </c>
      <c r="D197" s="10">
        <f t="shared" si="8"/>
        <v>0.83068250254223064</v>
      </c>
    </row>
    <row r="198" spans="1:13" ht="13" x14ac:dyDescent="0.15">
      <c r="A198" s="2">
        <v>225</v>
      </c>
      <c r="B198" s="2">
        <v>1790.8</v>
      </c>
      <c r="C198" s="7">
        <f t="shared" si="7"/>
        <v>122.24313291358196</v>
      </c>
      <c r="D198" s="10">
        <f t="shared" si="8"/>
        <v>0.85942075513916849</v>
      </c>
    </row>
    <row r="199" spans="1:13" ht="13" x14ac:dyDescent="0.15">
      <c r="A199" s="2">
        <v>240</v>
      </c>
      <c r="B199" s="2">
        <v>1862.6</v>
      </c>
      <c r="C199" s="7">
        <f t="shared" si="7"/>
        <v>127.21095966235384</v>
      </c>
      <c r="D199" s="10">
        <f t="shared" si="8"/>
        <v>0.87673336258034984</v>
      </c>
    </row>
    <row r="203" spans="1:13" ht="13" x14ac:dyDescent="0.1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</row>
    <row r="205" spans="1:13" ht="13" x14ac:dyDescent="0.15">
      <c r="J205" s="2" t="s">
        <v>30</v>
      </c>
    </row>
    <row r="206" spans="1:13" ht="13" x14ac:dyDescent="0.15">
      <c r="E206" s="36" t="s">
        <v>19</v>
      </c>
      <c r="F206" s="35"/>
      <c r="J206" s="2" t="s">
        <v>24</v>
      </c>
    </row>
    <row r="207" spans="1:13" ht="13" x14ac:dyDescent="0.15">
      <c r="E207" s="2" t="s">
        <v>9</v>
      </c>
      <c r="F207" s="2">
        <v>14.452999999999999</v>
      </c>
      <c r="J207" s="2" t="s">
        <v>31</v>
      </c>
    </row>
    <row r="208" spans="1:13" ht="13" x14ac:dyDescent="0.15">
      <c r="E208" s="2" t="s">
        <v>11</v>
      </c>
      <c r="F208" s="2">
        <v>24.02</v>
      </c>
      <c r="J208" s="2" t="s">
        <v>21</v>
      </c>
      <c r="L208" s="2">
        <f>50/250*1000</f>
        <v>200</v>
      </c>
      <c r="M208" s="2" t="s">
        <v>22</v>
      </c>
    </row>
    <row r="209" spans="1:4" ht="13" x14ac:dyDescent="0.15">
      <c r="A209" s="4" t="s">
        <v>3</v>
      </c>
      <c r="B209" s="4" t="s">
        <v>4</v>
      </c>
      <c r="C209" s="4" t="s">
        <v>5</v>
      </c>
      <c r="D209" s="2" t="s">
        <v>25</v>
      </c>
    </row>
    <row r="210" spans="1:4" ht="13" x14ac:dyDescent="0.15">
      <c r="A210" s="2">
        <v>2.5</v>
      </c>
      <c r="B210" s="2">
        <v>93.3</v>
      </c>
      <c r="C210" s="7">
        <f t="shared" ref="C210:C232" si="9">(B210-$F$40)/$F$39</f>
        <v>4.7934684840517541</v>
      </c>
      <c r="D210" s="10">
        <f t="shared" ref="D210:D232" si="10">C210/(C142)</f>
        <v>0.36505427336916429</v>
      </c>
    </row>
    <row r="211" spans="1:4" ht="13" x14ac:dyDescent="0.15">
      <c r="A211" s="2">
        <v>5</v>
      </c>
      <c r="B211" s="2">
        <v>117.1</v>
      </c>
      <c r="C211" s="7">
        <f t="shared" si="9"/>
        <v>6.4401854286307341</v>
      </c>
      <c r="D211" s="10">
        <f t="shared" si="10"/>
        <v>0.2470407134136631</v>
      </c>
    </row>
    <row r="212" spans="1:4" ht="13" x14ac:dyDescent="0.15">
      <c r="A212" s="2">
        <v>7.5</v>
      </c>
      <c r="B212" s="2">
        <v>171.8</v>
      </c>
      <c r="C212" s="7">
        <f t="shared" si="9"/>
        <v>10.224866809658895</v>
      </c>
      <c r="D212" s="10">
        <f t="shared" si="10"/>
        <v>0.28181852854799955</v>
      </c>
    </row>
    <row r="213" spans="1:4" ht="13" x14ac:dyDescent="0.15">
      <c r="A213" s="2">
        <v>10</v>
      </c>
      <c r="B213" s="2">
        <v>218.3</v>
      </c>
      <c r="C213" s="7">
        <f t="shared" si="9"/>
        <v>13.442191932470768</v>
      </c>
      <c r="D213" s="10">
        <f t="shared" si="10"/>
        <v>0.3144299864051272</v>
      </c>
    </row>
    <row r="214" spans="1:4" ht="13" x14ac:dyDescent="0.15">
      <c r="A214" s="2">
        <v>15</v>
      </c>
      <c r="B214" s="2">
        <v>305.8</v>
      </c>
      <c r="C214" s="7">
        <f t="shared" si="9"/>
        <v>19.496298346364078</v>
      </c>
      <c r="D214" s="10">
        <f t="shared" si="10"/>
        <v>0.35988147845411123</v>
      </c>
    </row>
    <row r="215" spans="1:4" ht="13" x14ac:dyDescent="0.15">
      <c r="A215" s="2">
        <v>20</v>
      </c>
      <c r="B215" s="2">
        <v>395.7</v>
      </c>
      <c r="C215" s="7">
        <f t="shared" si="9"/>
        <v>25.716460250467033</v>
      </c>
      <c r="D215" s="10">
        <f t="shared" si="10"/>
        <v>0.40921301801206683</v>
      </c>
    </row>
    <row r="216" spans="1:4" ht="13" x14ac:dyDescent="0.15">
      <c r="A216" s="2">
        <v>25</v>
      </c>
      <c r="B216" s="2">
        <v>468.6</v>
      </c>
      <c r="C216" s="7">
        <f t="shared" si="9"/>
        <v>30.760395765585002</v>
      </c>
      <c r="D216" s="10">
        <f t="shared" si="10"/>
        <v>0.44588197536807483</v>
      </c>
    </row>
    <row r="217" spans="1:4" ht="13" x14ac:dyDescent="0.15">
      <c r="A217" s="2">
        <v>30</v>
      </c>
      <c r="B217" s="2">
        <v>543</v>
      </c>
      <c r="C217" s="7">
        <f t="shared" si="9"/>
        <v>35.908115962083997</v>
      </c>
      <c r="D217" s="10">
        <f t="shared" si="10"/>
        <v>0.48157152401454967</v>
      </c>
    </row>
    <row r="218" spans="1:4" ht="13" x14ac:dyDescent="0.15">
      <c r="A218" s="2">
        <v>40</v>
      </c>
      <c r="B218" s="2">
        <v>655.29999999999995</v>
      </c>
      <c r="C218" s="7">
        <f t="shared" si="9"/>
        <v>43.678129108143636</v>
      </c>
      <c r="D218" s="10">
        <f t="shared" si="10"/>
        <v>0.52651420373984548</v>
      </c>
    </row>
    <row r="219" spans="1:4" ht="13" x14ac:dyDescent="0.15">
      <c r="A219" s="2">
        <v>50</v>
      </c>
      <c r="B219" s="2">
        <v>790.1</v>
      </c>
      <c r="C219" s="7">
        <f t="shared" si="9"/>
        <v>53.004912474918704</v>
      </c>
      <c r="D219" s="10">
        <f t="shared" si="10"/>
        <v>0.5836888943069608</v>
      </c>
    </row>
    <row r="220" spans="1:4" ht="13" x14ac:dyDescent="0.15">
      <c r="A220" s="2">
        <v>60</v>
      </c>
      <c r="B220" s="2">
        <v>891.1</v>
      </c>
      <c r="C220" s="7">
        <f t="shared" si="9"/>
        <v>59.993081021241267</v>
      </c>
      <c r="D220" s="10">
        <f t="shared" si="10"/>
        <v>0.64148319128787878</v>
      </c>
    </row>
    <row r="221" spans="1:4" ht="13" x14ac:dyDescent="0.15">
      <c r="A221" s="2">
        <v>75</v>
      </c>
      <c r="B221" s="2">
        <v>1035.2</v>
      </c>
      <c r="C221" s="7">
        <f t="shared" si="9"/>
        <v>69.963329412578716</v>
      </c>
      <c r="D221" s="10">
        <f t="shared" si="10"/>
        <v>0.6848585825747725</v>
      </c>
    </row>
    <row r="222" spans="1:4" ht="13" x14ac:dyDescent="0.15">
      <c r="A222" s="2">
        <v>90</v>
      </c>
      <c r="B222" s="2">
        <v>1138.5999999999999</v>
      </c>
      <c r="C222" s="7">
        <f t="shared" si="9"/>
        <v>77.117553449110915</v>
      </c>
      <c r="D222" s="10">
        <f t="shared" si="10"/>
        <v>0.71120101073265352</v>
      </c>
    </row>
    <row r="223" spans="1:4" ht="13" x14ac:dyDescent="0.15">
      <c r="A223" s="2">
        <v>105</v>
      </c>
      <c r="B223" s="2">
        <v>1250.4000000000001</v>
      </c>
      <c r="C223" s="7">
        <f t="shared" si="9"/>
        <v>84.852971701376887</v>
      </c>
      <c r="D223" s="10">
        <f t="shared" si="10"/>
        <v>0.75349905995404232</v>
      </c>
    </row>
    <row r="224" spans="1:4" ht="13" x14ac:dyDescent="0.15">
      <c r="A224" s="2">
        <v>120</v>
      </c>
      <c r="B224" s="2">
        <v>1370.2</v>
      </c>
      <c r="C224" s="7">
        <f t="shared" si="9"/>
        <v>93.141908254341672</v>
      </c>
      <c r="D224" s="10">
        <f t="shared" si="10"/>
        <v>0.79907163378208335</v>
      </c>
    </row>
    <row r="225" spans="1:13" ht="13" x14ac:dyDescent="0.15">
      <c r="A225" s="2">
        <v>135</v>
      </c>
      <c r="B225" s="2">
        <v>1428.9</v>
      </c>
      <c r="C225" s="7">
        <f t="shared" si="9"/>
        <v>97.203348785719243</v>
      </c>
      <c r="D225" s="10">
        <f t="shared" si="10"/>
        <v>0.81499959391569698</v>
      </c>
    </row>
    <row r="226" spans="1:13" ht="13" x14ac:dyDescent="0.15">
      <c r="A226" s="2">
        <v>150</v>
      </c>
      <c r="B226" s="2">
        <v>1538.6</v>
      </c>
      <c r="C226" s="7">
        <f t="shared" si="9"/>
        <v>104.79346848405176</v>
      </c>
      <c r="D226" s="10">
        <f t="shared" si="10"/>
        <v>0.85233373476347518</v>
      </c>
    </row>
    <row r="227" spans="1:13" ht="13" x14ac:dyDescent="0.15">
      <c r="A227" s="2">
        <v>165</v>
      </c>
      <c r="B227" s="2">
        <v>1622.8</v>
      </c>
      <c r="C227" s="7">
        <f t="shared" si="9"/>
        <v>110.61924859890681</v>
      </c>
      <c r="D227" s="10">
        <f t="shared" si="10"/>
        <v>0.85758577037784034</v>
      </c>
    </row>
    <row r="228" spans="1:13" ht="13" x14ac:dyDescent="0.15">
      <c r="A228" s="2">
        <v>180</v>
      </c>
      <c r="B228" s="2">
        <v>1694.3</v>
      </c>
      <c r="C228" s="7">
        <f t="shared" si="9"/>
        <v>115.56631841140248</v>
      </c>
      <c r="D228" s="10">
        <f t="shared" si="10"/>
        <v>0.88516041505474352</v>
      </c>
    </row>
    <row r="229" spans="1:13" ht="13" x14ac:dyDescent="0.15">
      <c r="A229" s="2">
        <v>195</v>
      </c>
      <c r="B229" s="2">
        <v>1758.9</v>
      </c>
      <c r="C229" s="7">
        <f t="shared" si="9"/>
        <v>120.03597868954543</v>
      </c>
      <c r="D229" s="10">
        <f t="shared" si="10"/>
        <v>0.89229946304030294</v>
      </c>
    </row>
    <row r="230" spans="1:13" ht="13" x14ac:dyDescent="0.15">
      <c r="A230" s="2">
        <v>210</v>
      </c>
      <c r="B230" s="2">
        <v>1803.4</v>
      </c>
      <c r="C230" s="7">
        <f t="shared" si="9"/>
        <v>123.11492423718261</v>
      </c>
      <c r="D230" s="10">
        <f t="shared" si="10"/>
        <v>0.88215638447657019</v>
      </c>
    </row>
    <row r="231" spans="1:13" ht="13" x14ac:dyDescent="0.15">
      <c r="A231" s="2">
        <v>225</v>
      </c>
      <c r="B231" s="2">
        <v>1891</v>
      </c>
      <c r="C231" s="7">
        <f t="shared" si="9"/>
        <v>129.17594962983463</v>
      </c>
      <c r="D231" s="10">
        <f t="shared" si="10"/>
        <v>0.91812066014910387</v>
      </c>
    </row>
    <row r="232" spans="1:13" ht="13" x14ac:dyDescent="0.15">
      <c r="A232" s="2">
        <v>240</v>
      </c>
      <c r="B232" s="2">
        <v>1936.2</v>
      </c>
      <c r="C232" s="7">
        <f t="shared" si="9"/>
        <v>132.30332802878297</v>
      </c>
      <c r="D232" s="10">
        <f t="shared" si="10"/>
        <v>0.92726144177520897</v>
      </c>
    </row>
    <row r="237" spans="1:13" ht="13" x14ac:dyDescent="0.1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</row>
    <row r="239" spans="1:13" ht="13" x14ac:dyDescent="0.15">
      <c r="B239" s="3">
        <v>44243</v>
      </c>
    </row>
    <row r="240" spans="1:13" ht="13" x14ac:dyDescent="0.15">
      <c r="E240" s="36" t="s">
        <v>19</v>
      </c>
      <c r="F240" s="35"/>
      <c r="G240" s="36" t="s">
        <v>32</v>
      </c>
      <c r="H240" s="35"/>
      <c r="J240" s="2" t="s">
        <v>33</v>
      </c>
      <c r="L240" s="2" t="s">
        <v>34</v>
      </c>
    </row>
    <row r="241" spans="1:13" ht="13" x14ac:dyDescent="0.15">
      <c r="E241" s="2" t="s">
        <v>9</v>
      </c>
      <c r="F241" s="2">
        <v>14.452999999999999</v>
      </c>
      <c r="G241" s="2" t="s">
        <v>9</v>
      </c>
      <c r="H241" s="2">
        <v>13.215999999999999</v>
      </c>
      <c r="J241" s="2" t="s">
        <v>35</v>
      </c>
    </row>
    <row r="242" spans="1:13" ht="13" x14ac:dyDescent="0.15">
      <c r="E242" s="2" t="s">
        <v>11</v>
      </c>
      <c r="F242" s="2">
        <v>24.02</v>
      </c>
      <c r="G242" s="2" t="s">
        <v>11</v>
      </c>
      <c r="H242" s="2">
        <v>23.207999999999998</v>
      </c>
      <c r="J242" s="2" t="s">
        <v>21</v>
      </c>
      <c r="L242" s="2">
        <f>50/250*1000</f>
        <v>200</v>
      </c>
      <c r="M242" s="2" t="s">
        <v>22</v>
      </c>
    </row>
    <row r="243" spans="1:13" ht="13" x14ac:dyDescent="0.15">
      <c r="A243" s="4" t="s">
        <v>3</v>
      </c>
      <c r="B243" s="4" t="s">
        <v>4</v>
      </c>
      <c r="C243" s="4" t="s">
        <v>5</v>
      </c>
      <c r="D243" s="2" t="s">
        <v>25</v>
      </c>
    </row>
    <row r="244" spans="1:13" ht="13" x14ac:dyDescent="0.15">
      <c r="A244" s="2">
        <v>2.5</v>
      </c>
      <c r="B244" s="2">
        <v>26.8</v>
      </c>
      <c r="C244" s="7">
        <f t="shared" ref="C244:C266" si="11">(B244-$H$242)/$H$241</f>
        <v>0.27179176755447959</v>
      </c>
      <c r="D244" s="10">
        <f t="shared" ref="D244:D266" si="12">C244/(C142)</f>
        <v>2.0698737572267329E-2</v>
      </c>
    </row>
    <row r="245" spans="1:13" ht="13" x14ac:dyDescent="0.15">
      <c r="A245" s="2">
        <v>5</v>
      </c>
      <c r="B245" s="2">
        <v>59.8</v>
      </c>
      <c r="C245" s="7">
        <f t="shared" si="11"/>
        <v>2.7687651331719128</v>
      </c>
      <c r="D245" s="10">
        <f t="shared" si="12"/>
        <v>0.1062077670516844</v>
      </c>
    </row>
    <row r="246" spans="1:13" ht="13" x14ac:dyDescent="0.15">
      <c r="A246" s="2">
        <v>7.5</v>
      </c>
      <c r="B246" s="2">
        <v>86.2</v>
      </c>
      <c r="C246" s="7">
        <f t="shared" si="11"/>
        <v>4.7663438256658601</v>
      </c>
      <c r="D246" s="10">
        <f t="shared" si="12"/>
        <v>0.13137031792278248</v>
      </c>
    </row>
    <row r="247" spans="1:13" ht="13" x14ac:dyDescent="0.15">
      <c r="A247" s="2">
        <v>10</v>
      </c>
      <c r="B247" s="2">
        <v>121.3</v>
      </c>
      <c r="C247" s="7">
        <f t="shared" si="11"/>
        <v>7.4222154963680387</v>
      </c>
      <c r="D247" s="10">
        <f t="shared" si="12"/>
        <v>0.17361507180845351</v>
      </c>
    </row>
    <row r="248" spans="1:13" ht="13" x14ac:dyDescent="0.15">
      <c r="A248" s="2">
        <v>15</v>
      </c>
      <c r="B248" s="2">
        <v>163.80000000000001</v>
      </c>
      <c r="C248" s="7">
        <f t="shared" si="11"/>
        <v>10.638014527845037</v>
      </c>
      <c r="D248" s="10">
        <f t="shared" si="12"/>
        <v>0.19636673219104486</v>
      </c>
    </row>
    <row r="249" spans="1:13" ht="13" x14ac:dyDescent="0.15">
      <c r="A249" s="2">
        <v>20</v>
      </c>
      <c r="B249" s="2">
        <v>196.5</v>
      </c>
      <c r="C249" s="7">
        <f t="shared" si="11"/>
        <v>13.112288135593221</v>
      </c>
      <c r="D249" s="10">
        <f t="shared" si="12"/>
        <v>0.20864920555745897</v>
      </c>
    </row>
    <row r="250" spans="1:13" ht="13" x14ac:dyDescent="0.15">
      <c r="A250" s="2">
        <v>25</v>
      </c>
      <c r="B250" s="2">
        <v>242.7</v>
      </c>
      <c r="C250" s="7">
        <f t="shared" si="11"/>
        <v>16.608050847457626</v>
      </c>
      <c r="D250" s="10">
        <f t="shared" si="12"/>
        <v>0.24073911712029633</v>
      </c>
    </row>
    <row r="251" spans="1:13" ht="13" x14ac:dyDescent="0.15">
      <c r="A251" s="2">
        <v>30</v>
      </c>
      <c r="B251" s="2">
        <v>268.89999999999998</v>
      </c>
      <c r="C251" s="7">
        <f t="shared" si="11"/>
        <v>18.590496368038739</v>
      </c>
      <c r="D251" s="10">
        <f t="shared" si="12"/>
        <v>0.24932117512365809</v>
      </c>
    </row>
    <row r="252" spans="1:13" ht="13" x14ac:dyDescent="0.15">
      <c r="A252" s="2">
        <v>40</v>
      </c>
      <c r="B252" s="2">
        <v>335.5</v>
      </c>
      <c r="C252" s="7">
        <f t="shared" si="11"/>
        <v>23.629842615012109</v>
      </c>
      <c r="D252" s="10">
        <f t="shared" si="12"/>
        <v>0.28484388006035966</v>
      </c>
    </row>
    <row r="253" spans="1:13" ht="13" x14ac:dyDescent="0.15">
      <c r="A253" s="2">
        <v>50</v>
      </c>
      <c r="B253" s="2">
        <v>418.2</v>
      </c>
      <c r="C253" s="7">
        <f t="shared" si="11"/>
        <v>29.88740920096852</v>
      </c>
      <c r="D253" s="10">
        <f t="shared" si="12"/>
        <v>0.32911947243508322</v>
      </c>
    </row>
    <row r="254" spans="1:13" ht="13" x14ac:dyDescent="0.15">
      <c r="A254" s="2">
        <v>60</v>
      </c>
      <c r="B254" s="2">
        <v>458.6</v>
      </c>
      <c r="C254" s="7">
        <f t="shared" si="11"/>
        <v>32.944309927360777</v>
      </c>
      <c r="D254" s="10">
        <f t="shared" si="12"/>
        <v>0.35226097255278266</v>
      </c>
    </row>
    <row r="255" spans="1:13" ht="13" x14ac:dyDescent="0.15">
      <c r="A255" s="2">
        <v>75</v>
      </c>
      <c r="B255" s="2">
        <v>526</v>
      </c>
      <c r="C255" s="7">
        <f t="shared" si="11"/>
        <v>38.044188861985475</v>
      </c>
      <c r="D255" s="10">
        <f t="shared" si="12"/>
        <v>0.37240779531200968</v>
      </c>
    </row>
    <row r="256" spans="1:13" ht="13" x14ac:dyDescent="0.15">
      <c r="A256" s="2">
        <v>90</v>
      </c>
      <c r="B256" s="2">
        <v>586</v>
      </c>
      <c r="C256" s="7">
        <f t="shared" si="11"/>
        <v>42.584140435835359</v>
      </c>
      <c r="D256" s="10">
        <f t="shared" si="12"/>
        <v>0.39272360655389199</v>
      </c>
    </row>
    <row r="257" spans="1:4" ht="13" x14ac:dyDescent="0.15">
      <c r="A257" s="2">
        <v>105</v>
      </c>
      <c r="B257" s="2">
        <v>652.5</v>
      </c>
      <c r="C257" s="7">
        <f t="shared" si="11"/>
        <v>47.615920096852307</v>
      </c>
      <c r="D257" s="10">
        <f t="shared" si="12"/>
        <v>0.42283199176679881</v>
      </c>
    </row>
    <row r="258" spans="1:4" ht="13" x14ac:dyDescent="0.15">
      <c r="A258" s="2">
        <v>120</v>
      </c>
      <c r="B258" s="2">
        <v>705.1</v>
      </c>
      <c r="C258" s="7">
        <f t="shared" si="11"/>
        <v>51.595944309927368</v>
      </c>
      <c r="D258" s="10">
        <f t="shared" si="12"/>
        <v>0.44264559626242383</v>
      </c>
    </row>
    <row r="259" spans="1:4" ht="13" x14ac:dyDescent="0.15">
      <c r="A259" s="2">
        <v>135</v>
      </c>
      <c r="B259" s="2">
        <v>759.8</v>
      </c>
      <c r="C259" s="7">
        <f t="shared" si="11"/>
        <v>55.734866828087171</v>
      </c>
      <c r="D259" s="10">
        <f t="shared" si="12"/>
        <v>0.46730791067673594</v>
      </c>
    </row>
    <row r="260" spans="1:4" ht="13" x14ac:dyDescent="0.15">
      <c r="A260" s="2">
        <v>150</v>
      </c>
      <c r="B260" s="2">
        <v>800.4</v>
      </c>
      <c r="C260" s="7">
        <f t="shared" si="11"/>
        <v>58.806900726392257</v>
      </c>
      <c r="D260" s="10">
        <f t="shared" si="12"/>
        <v>0.47830371540397038</v>
      </c>
    </row>
    <row r="261" spans="1:4" ht="13" x14ac:dyDescent="0.15">
      <c r="A261" s="2">
        <v>165</v>
      </c>
      <c r="B261" s="2">
        <v>854.3</v>
      </c>
      <c r="C261" s="7">
        <f t="shared" si="11"/>
        <v>62.885290556900728</v>
      </c>
      <c r="D261" s="10">
        <f t="shared" si="12"/>
        <v>0.48752392581526716</v>
      </c>
    </row>
    <row r="262" spans="1:4" ht="13" x14ac:dyDescent="0.15">
      <c r="A262" s="2">
        <v>180</v>
      </c>
      <c r="B262" s="2">
        <v>914.5</v>
      </c>
      <c r="C262" s="7">
        <f t="shared" si="11"/>
        <v>67.44037530266344</v>
      </c>
      <c r="D262" s="10">
        <f t="shared" si="12"/>
        <v>0.51654799958102082</v>
      </c>
    </row>
    <row r="263" spans="1:4" ht="13" x14ac:dyDescent="0.15">
      <c r="A263" s="2">
        <v>195</v>
      </c>
      <c r="B263" s="2">
        <v>949.8</v>
      </c>
      <c r="C263" s="7">
        <f t="shared" si="11"/>
        <v>70.11138014527846</v>
      </c>
      <c r="D263" s="10">
        <f t="shared" si="12"/>
        <v>0.52117996237152553</v>
      </c>
    </row>
    <row r="264" spans="1:4" ht="13" x14ac:dyDescent="0.15">
      <c r="A264" s="2">
        <v>210</v>
      </c>
      <c r="B264" s="2">
        <v>981.4</v>
      </c>
      <c r="C264" s="7">
        <f t="shared" si="11"/>
        <v>72.502421307506054</v>
      </c>
      <c r="D264" s="10">
        <f t="shared" si="12"/>
        <v>0.51950219880093251</v>
      </c>
    </row>
    <row r="265" spans="1:4" ht="13" x14ac:dyDescent="0.15">
      <c r="A265" s="2">
        <v>225</v>
      </c>
      <c r="B265" s="2">
        <v>1038.4000000000001</v>
      </c>
      <c r="C265" s="7">
        <f t="shared" si="11"/>
        <v>76.815375302663455</v>
      </c>
      <c r="D265" s="10">
        <f t="shared" si="12"/>
        <v>0.54596682497462223</v>
      </c>
    </row>
    <row r="266" spans="1:4" ht="13" x14ac:dyDescent="0.15">
      <c r="A266" s="2">
        <v>240</v>
      </c>
      <c r="B266" s="2">
        <v>1074</v>
      </c>
      <c r="C266" s="7">
        <f t="shared" si="11"/>
        <v>79.509079903147693</v>
      </c>
      <c r="D266" s="10">
        <f t="shared" si="12"/>
        <v>0.55724753990446696</v>
      </c>
    </row>
  </sheetData>
  <mergeCells count="8">
    <mergeCell ref="E206:F206"/>
    <mergeCell ref="E240:F240"/>
    <mergeCell ref="G240:H240"/>
    <mergeCell ref="F4:G4"/>
    <mergeCell ref="E38:F38"/>
    <mergeCell ref="E69:F69"/>
    <mergeCell ref="E138:F138"/>
    <mergeCell ref="E173:F17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S69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6640625" defaultRowHeight="15.75" customHeight="1" x14ac:dyDescent="0.15"/>
  <cols>
    <col min="3" max="3" width="17.1640625" customWidth="1"/>
  </cols>
  <sheetData>
    <row r="1" spans="1:13" ht="15.75" customHeight="1" x14ac:dyDescent="0.15">
      <c r="A1" s="37" t="s">
        <v>36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</row>
    <row r="2" spans="1:13" ht="15.75" customHeight="1" x14ac:dyDescent="0.15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</row>
    <row r="5" spans="1:13" ht="15.75" customHeight="1" x14ac:dyDescent="0.1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</row>
    <row r="6" spans="1:13" ht="15.75" customHeight="1" x14ac:dyDescent="0.15">
      <c r="E6" s="36" t="s">
        <v>37</v>
      </c>
      <c r="F6" s="35"/>
      <c r="J6" s="2" t="s">
        <v>23</v>
      </c>
      <c r="K6" s="12">
        <v>44321</v>
      </c>
      <c r="M6" s="2" t="s">
        <v>38</v>
      </c>
    </row>
    <row r="7" spans="1:13" ht="15.75" customHeight="1" x14ac:dyDescent="0.15">
      <c r="E7" s="2" t="s">
        <v>9</v>
      </c>
      <c r="F7" s="2">
        <v>25.252169299999998</v>
      </c>
      <c r="J7" s="2" t="s">
        <v>39</v>
      </c>
      <c r="M7" s="2" t="s">
        <v>40</v>
      </c>
    </row>
    <row r="8" spans="1:13" ht="15.75" customHeight="1" x14ac:dyDescent="0.15">
      <c r="E8" s="2" t="s">
        <v>11</v>
      </c>
      <c r="F8" s="2">
        <v>63.318556000000001</v>
      </c>
    </row>
    <row r="9" spans="1:13" ht="15.75" customHeight="1" x14ac:dyDescent="0.15">
      <c r="A9" s="4" t="s">
        <v>3</v>
      </c>
      <c r="B9" s="4" t="s">
        <v>41</v>
      </c>
      <c r="C9" s="4" t="s">
        <v>42</v>
      </c>
      <c r="J9" s="2" t="s">
        <v>21</v>
      </c>
      <c r="L9" s="2">
        <f>50/250*1000</f>
        <v>200</v>
      </c>
      <c r="M9" s="2" t="s">
        <v>22</v>
      </c>
    </row>
    <row r="10" spans="1:13" ht="15.75" customHeight="1" x14ac:dyDescent="0.15">
      <c r="A10" s="2">
        <v>2.5</v>
      </c>
      <c r="B10" s="7">
        <v>320.2</v>
      </c>
      <c r="C10" s="7">
        <f t="shared" ref="C10:C32" si="0">(B10-$F$8)/$F$7</f>
        <v>10.172648573205947</v>
      </c>
      <c r="D10" s="10"/>
    </row>
    <row r="11" spans="1:13" ht="15.75" customHeight="1" x14ac:dyDescent="0.15">
      <c r="A11" s="2">
        <v>5</v>
      </c>
      <c r="B11" s="7">
        <v>575</v>
      </c>
      <c r="C11" s="7">
        <f t="shared" si="0"/>
        <v>20.262870802153223</v>
      </c>
      <c r="D11" s="10"/>
    </row>
    <row r="12" spans="1:13" ht="15.75" customHeight="1" x14ac:dyDescent="0.15">
      <c r="A12" s="2">
        <v>7.5</v>
      </c>
      <c r="B12" s="7">
        <v>787.5</v>
      </c>
      <c r="C12" s="7">
        <f t="shared" si="0"/>
        <v>28.677989419309021</v>
      </c>
      <c r="D12" s="10"/>
    </row>
    <row r="13" spans="1:13" ht="15.75" customHeight="1" x14ac:dyDescent="0.15">
      <c r="A13" s="2">
        <v>10</v>
      </c>
      <c r="B13" s="7">
        <v>931.3</v>
      </c>
      <c r="C13" s="7">
        <f t="shared" si="0"/>
        <v>34.372549688236091</v>
      </c>
      <c r="D13" s="10"/>
    </row>
    <row r="14" spans="1:13" ht="15.75" customHeight="1" x14ac:dyDescent="0.15">
      <c r="A14" s="2">
        <v>15</v>
      </c>
      <c r="B14" s="7">
        <v>1243.4000000000001</v>
      </c>
      <c r="C14" s="7">
        <f t="shared" si="0"/>
        <v>46.73188390195056</v>
      </c>
      <c r="D14" s="10"/>
    </row>
    <row r="15" spans="1:13" ht="15.75" customHeight="1" x14ac:dyDescent="0.15">
      <c r="A15" s="2">
        <v>20</v>
      </c>
      <c r="B15" s="7">
        <v>1461.7</v>
      </c>
      <c r="C15" s="7">
        <f t="shared" si="0"/>
        <v>55.376685756656961</v>
      </c>
      <c r="D15" s="10"/>
    </row>
    <row r="16" spans="1:13" ht="15.75" customHeight="1" x14ac:dyDescent="0.15">
      <c r="A16" s="2">
        <v>25</v>
      </c>
      <c r="B16" s="7">
        <v>1621.7</v>
      </c>
      <c r="C16" s="7">
        <f t="shared" si="0"/>
        <v>61.712775068397796</v>
      </c>
      <c r="D16" s="10"/>
    </row>
    <row r="17" spans="1:4" ht="15.75" customHeight="1" x14ac:dyDescent="0.15">
      <c r="A17" s="2">
        <v>30</v>
      </c>
      <c r="B17" s="7">
        <v>1733.8</v>
      </c>
      <c r="C17" s="7">
        <f t="shared" si="0"/>
        <v>66.151997642436214</v>
      </c>
      <c r="D17" s="10"/>
    </row>
    <row r="18" spans="1:4" ht="15.75" customHeight="1" x14ac:dyDescent="0.15">
      <c r="A18" s="2">
        <v>40</v>
      </c>
      <c r="B18" s="7">
        <v>1905.4</v>
      </c>
      <c r="C18" s="7">
        <f t="shared" si="0"/>
        <v>72.947453429278269</v>
      </c>
      <c r="D18" s="10"/>
    </row>
    <row r="19" spans="1:4" ht="15.75" customHeight="1" x14ac:dyDescent="0.15">
      <c r="A19" s="2">
        <v>50</v>
      </c>
      <c r="B19" s="7">
        <v>2185.8000000000002</v>
      </c>
      <c r="C19" s="7">
        <f t="shared" si="0"/>
        <v>84.051449948104064</v>
      </c>
      <c r="D19" s="10"/>
    </row>
    <row r="20" spans="1:4" ht="15.75" customHeight="1" x14ac:dyDescent="0.15">
      <c r="A20" s="2">
        <v>60</v>
      </c>
      <c r="B20" s="7">
        <v>2358.4</v>
      </c>
      <c r="C20" s="7">
        <f t="shared" si="0"/>
        <v>90.886506293144492</v>
      </c>
      <c r="D20" s="10"/>
    </row>
    <row r="21" spans="1:4" ht="15.75" customHeight="1" x14ac:dyDescent="0.15">
      <c r="A21" s="2">
        <v>75</v>
      </c>
      <c r="B21" s="7">
        <v>2469.6999999999998</v>
      </c>
      <c r="C21" s="7">
        <f t="shared" si="0"/>
        <v>95.294048420624193</v>
      </c>
      <c r="D21" s="10"/>
    </row>
    <row r="22" spans="1:4" ht="15.75" customHeight="1" x14ac:dyDescent="0.15">
      <c r="A22" s="2">
        <v>90</v>
      </c>
      <c r="B22" s="7">
        <v>2493.6999999999998</v>
      </c>
      <c r="C22" s="7">
        <f t="shared" si="0"/>
        <v>96.244461817385314</v>
      </c>
      <c r="D22" s="10"/>
    </row>
    <row r="23" spans="1:4" ht="15.75" customHeight="1" x14ac:dyDescent="0.15">
      <c r="A23" s="2">
        <v>105</v>
      </c>
      <c r="B23" s="7">
        <v>2701.7</v>
      </c>
      <c r="C23" s="7">
        <f t="shared" si="0"/>
        <v>104.48137792264841</v>
      </c>
      <c r="D23" s="10"/>
    </row>
    <row r="24" spans="1:4" ht="15.75" customHeight="1" x14ac:dyDescent="0.15">
      <c r="A24" s="2">
        <v>120</v>
      </c>
      <c r="B24" s="7">
        <v>2669.2</v>
      </c>
      <c r="C24" s="7">
        <f t="shared" si="0"/>
        <v>103.19435978120104</v>
      </c>
      <c r="D24" s="10"/>
    </row>
    <row r="25" spans="1:4" ht="15.75" customHeight="1" x14ac:dyDescent="0.15">
      <c r="A25" s="2">
        <v>135</v>
      </c>
      <c r="B25" s="7">
        <v>2692.6</v>
      </c>
      <c r="C25" s="7">
        <f t="shared" si="0"/>
        <v>104.12101284304315</v>
      </c>
      <c r="D25" s="10"/>
    </row>
    <row r="26" spans="1:4" ht="15.75" customHeight="1" x14ac:dyDescent="0.15">
      <c r="A26" s="2">
        <v>150</v>
      </c>
      <c r="B26" s="7">
        <v>2676.4</v>
      </c>
      <c r="C26" s="7">
        <f t="shared" si="0"/>
        <v>103.47948380022939</v>
      </c>
      <c r="D26" s="10"/>
    </row>
    <row r="27" spans="1:4" ht="15.75" customHeight="1" x14ac:dyDescent="0.15">
      <c r="A27" s="2">
        <v>165</v>
      </c>
      <c r="B27" s="7">
        <v>2832.9</v>
      </c>
      <c r="C27" s="7">
        <f t="shared" si="0"/>
        <v>109.6769711582759</v>
      </c>
      <c r="D27" s="10"/>
    </row>
    <row r="28" spans="1:4" ht="15.75" customHeight="1" x14ac:dyDescent="0.15">
      <c r="A28" s="2">
        <v>180</v>
      </c>
      <c r="B28" s="7">
        <v>2854.3</v>
      </c>
      <c r="C28" s="7">
        <f t="shared" si="0"/>
        <v>110.52442310372123</v>
      </c>
      <c r="D28" s="10"/>
    </row>
    <row r="29" spans="1:4" ht="15.75" customHeight="1" x14ac:dyDescent="0.15">
      <c r="A29" s="2">
        <v>195</v>
      </c>
      <c r="B29" s="7">
        <v>2815.3</v>
      </c>
      <c r="C29" s="7">
        <f t="shared" si="0"/>
        <v>108.9800013339844</v>
      </c>
      <c r="D29" s="10"/>
    </row>
    <row r="30" spans="1:4" ht="15.75" customHeight="1" x14ac:dyDescent="0.15">
      <c r="A30" s="2">
        <v>210</v>
      </c>
      <c r="B30" s="7">
        <v>2797.3</v>
      </c>
      <c r="C30" s="7">
        <f t="shared" si="0"/>
        <v>108.26719128641356</v>
      </c>
      <c r="D30" s="10"/>
    </row>
    <row r="31" spans="1:4" ht="15.75" customHeight="1" x14ac:dyDescent="0.15">
      <c r="A31" s="2">
        <v>225</v>
      </c>
      <c r="B31" s="7">
        <v>2808.3</v>
      </c>
      <c r="C31" s="7">
        <f t="shared" si="0"/>
        <v>108.70279742659575</v>
      </c>
      <c r="D31" s="10"/>
    </row>
    <row r="32" spans="1:4" ht="15.75" customHeight="1" x14ac:dyDescent="0.15">
      <c r="A32" s="2">
        <v>240</v>
      </c>
      <c r="B32" s="7">
        <v>2914.6</v>
      </c>
      <c r="C32" s="7">
        <f t="shared" si="0"/>
        <v>112.91233676308356</v>
      </c>
      <c r="D32" s="10"/>
    </row>
    <row r="33" spans="1:19" ht="15.75" customHeight="1" x14ac:dyDescent="0.15">
      <c r="C33" s="7"/>
    </row>
    <row r="34" spans="1:19" ht="15.75" customHeight="1" x14ac:dyDescent="0.15">
      <c r="C34" s="7"/>
    </row>
    <row r="36" spans="1:19" ht="15.75" customHeight="1" x14ac:dyDescent="0.1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19" ht="15.75" customHeight="1" x14ac:dyDescent="0.15">
      <c r="E37" s="36" t="s">
        <v>37</v>
      </c>
      <c r="F37" s="35"/>
      <c r="J37" s="2" t="s">
        <v>23</v>
      </c>
      <c r="K37" s="12">
        <v>44321</v>
      </c>
    </row>
    <row r="38" spans="1:19" ht="15.75" customHeight="1" x14ac:dyDescent="0.15">
      <c r="E38" s="2" t="s">
        <v>9</v>
      </c>
      <c r="F38" s="2">
        <v>25.252169299999998</v>
      </c>
      <c r="J38" s="2" t="s">
        <v>39</v>
      </c>
      <c r="P38" s="2" t="s">
        <v>43</v>
      </c>
    </row>
    <row r="39" spans="1:19" ht="15.75" customHeight="1" x14ac:dyDescent="0.15">
      <c r="E39" s="2" t="s">
        <v>11</v>
      </c>
      <c r="F39" s="2">
        <v>63.318556000000001</v>
      </c>
      <c r="P39" s="2" t="s">
        <v>40</v>
      </c>
    </row>
    <row r="40" spans="1:19" ht="15.75" customHeight="1" x14ac:dyDescent="0.15">
      <c r="A40" s="4" t="s">
        <v>3</v>
      </c>
      <c r="B40" s="4" t="s">
        <v>41</v>
      </c>
      <c r="C40" s="4" t="s">
        <v>42</v>
      </c>
      <c r="J40" s="2" t="s">
        <v>21</v>
      </c>
      <c r="L40" s="2">
        <f>50/250*1000</f>
        <v>200</v>
      </c>
      <c r="M40" s="2" t="s">
        <v>22</v>
      </c>
      <c r="P40" s="2" t="s">
        <v>44</v>
      </c>
    </row>
    <row r="41" spans="1:19" ht="15.75" customHeight="1" x14ac:dyDescent="0.15">
      <c r="A41" s="2">
        <v>2.5</v>
      </c>
      <c r="B41" s="7">
        <v>694.2</v>
      </c>
      <c r="C41" s="7">
        <f t="shared" ref="C41:C63" si="1">(B41-$F$8)/$F$7</f>
        <v>24.983257339400151</v>
      </c>
      <c r="D41" s="10">
        <f t="shared" ref="D41:D63" si="2">C41/C10</f>
        <v>2.4559245470451345</v>
      </c>
      <c r="P41" s="2" t="s">
        <v>45</v>
      </c>
    </row>
    <row r="42" spans="1:19" ht="15.75" customHeight="1" x14ac:dyDescent="0.15">
      <c r="A42" s="2">
        <v>5</v>
      </c>
      <c r="B42" s="7">
        <v>1049.9000000000001</v>
      </c>
      <c r="C42" s="7">
        <f t="shared" si="1"/>
        <v>39.06917589056399</v>
      </c>
      <c r="D42" s="10">
        <f t="shared" si="2"/>
        <v>1.9281165177449744</v>
      </c>
      <c r="P42" s="13" t="s">
        <v>46</v>
      </c>
      <c r="R42" s="2" t="s">
        <v>47</v>
      </c>
    </row>
    <row r="43" spans="1:19" ht="15.75" customHeight="1" x14ac:dyDescent="0.15">
      <c r="A43" s="2">
        <v>7.5</v>
      </c>
      <c r="B43" s="7">
        <v>1341.1</v>
      </c>
      <c r="C43" s="7">
        <f t="shared" si="1"/>
        <v>50.600858437932303</v>
      </c>
      <c r="D43" s="10">
        <f t="shared" si="2"/>
        <v>1.7644493028462627</v>
      </c>
    </row>
    <row r="44" spans="1:19" ht="15.75" customHeight="1" x14ac:dyDescent="0.15">
      <c r="A44" s="2">
        <v>10</v>
      </c>
      <c r="B44" s="7">
        <v>1583.3</v>
      </c>
      <c r="C44" s="7">
        <f t="shared" si="1"/>
        <v>60.192113633579993</v>
      </c>
      <c r="D44" s="10">
        <f t="shared" si="2"/>
        <v>1.7511681321150456</v>
      </c>
      <c r="M44" s="7">
        <f>50/0.6486</f>
        <v>77.08911501695961</v>
      </c>
      <c r="N44" s="2" t="s">
        <v>48</v>
      </c>
      <c r="P44" s="2" t="s">
        <v>49</v>
      </c>
    </row>
    <row r="45" spans="1:19" ht="15.75" customHeight="1" x14ac:dyDescent="0.15">
      <c r="A45" s="2">
        <v>15</v>
      </c>
      <c r="B45" s="7">
        <v>1999.1</v>
      </c>
      <c r="C45" s="7">
        <f t="shared" si="1"/>
        <v>76.658025732466484</v>
      </c>
      <c r="D45" s="10">
        <f t="shared" si="2"/>
        <v>1.6403795296013484</v>
      </c>
      <c r="N45" s="2" t="s">
        <v>50</v>
      </c>
    </row>
    <row r="46" spans="1:19" ht="15.75" customHeight="1" x14ac:dyDescent="0.15">
      <c r="A46" s="2">
        <v>20</v>
      </c>
      <c r="B46" s="7">
        <v>2227</v>
      </c>
      <c r="C46" s="7">
        <f t="shared" si="1"/>
        <v>85.682992945877331</v>
      </c>
      <c r="D46" s="10">
        <f t="shared" si="2"/>
        <v>1.5472755686823887</v>
      </c>
    </row>
    <row r="47" spans="1:19" ht="15.75" customHeight="1" x14ac:dyDescent="0.15">
      <c r="A47" s="2">
        <v>25</v>
      </c>
      <c r="B47" s="7">
        <v>2525.1999999999998</v>
      </c>
      <c r="C47" s="7">
        <f t="shared" si="1"/>
        <v>97.491879400634303</v>
      </c>
      <c r="D47" s="10">
        <f t="shared" si="2"/>
        <v>1.5797681969832282</v>
      </c>
    </row>
    <row r="48" spans="1:19" ht="15.75" customHeight="1" x14ac:dyDescent="0.15">
      <c r="A48" s="2">
        <v>30</v>
      </c>
      <c r="B48" s="7">
        <v>2685.6</v>
      </c>
      <c r="C48" s="7">
        <f t="shared" si="1"/>
        <v>103.84380893565448</v>
      </c>
      <c r="D48" s="10">
        <f t="shared" si="2"/>
        <v>1.5697758591803905</v>
      </c>
    </row>
    <row r="49" spans="1:4" ht="15.75" customHeight="1" x14ac:dyDescent="0.15">
      <c r="A49" s="2">
        <v>40</v>
      </c>
      <c r="B49" s="7">
        <v>2986.6</v>
      </c>
      <c r="C49" s="7">
        <f t="shared" si="1"/>
        <v>115.76357695336694</v>
      </c>
      <c r="D49" s="10">
        <f t="shared" si="2"/>
        <v>1.5869447322873089</v>
      </c>
    </row>
    <row r="50" spans="1:4" ht="15.75" customHeight="1" x14ac:dyDescent="0.15">
      <c r="A50" s="2">
        <v>50</v>
      </c>
      <c r="B50" s="7">
        <v>3208.4</v>
      </c>
      <c r="C50" s="7">
        <f t="shared" si="1"/>
        <v>124.54698076176767</v>
      </c>
      <c r="D50" s="10">
        <f t="shared" si="2"/>
        <v>1.481794553677144</v>
      </c>
    </row>
    <row r="51" spans="1:4" ht="15.75" customHeight="1" x14ac:dyDescent="0.15">
      <c r="A51" s="2">
        <v>60</v>
      </c>
      <c r="B51" s="7">
        <v>3515.8</v>
      </c>
      <c r="C51" s="7">
        <f t="shared" si="1"/>
        <v>136.72019235194975</v>
      </c>
      <c r="D51" s="10">
        <f t="shared" si="2"/>
        <v>1.5042958292507549</v>
      </c>
    </row>
    <row r="52" spans="1:4" ht="15.75" customHeight="1" x14ac:dyDescent="0.15">
      <c r="A52" s="2">
        <v>75</v>
      </c>
      <c r="B52" s="7">
        <v>3615.5</v>
      </c>
      <c r="C52" s="7">
        <f t="shared" si="1"/>
        <v>140.66836800432824</v>
      </c>
      <c r="D52" s="10">
        <f t="shared" si="2"/>
        <v>1.4761506131361277</v>
      </c>
    </row>
    <row r="53" spans="1:4" ht="15.75" customHeight="1" x14ac:dyDescent="0.15">
      <c r="A53" s="2">
        <v>90</v>
      </c>
      <c r="B53" s="7">
        <v>3780.5</v>
      </c>
      <c r="C53" s="7">
        <f t="shared" si="1"/>
        <v>147.20246010706097</v>
      </c>
      <c r="D53" s="10">
        <f t="shared" si="2"/>
        <v>1.5294642136018548</v>
      </c>
    </row>
    <row r="54" spans="1:4" ht="15.75" customHeight="1" x14ac:dyDescent="0.15">
      <c r="A54" s="2">
        <v>105</v>
      </c>
      <c r="B54" s="7">
        <v>3909.1</v>
      </c>
      <c r="C54" s="7">
        <f t="shared" si="1"/>
        <v>152.29509189137266</v>
      </c>
      <c r="D54" s="10">
        <f t="shared" si="2"/>
        <v>1.4576290523668496</v>
      </c>
    </row>
    <row r="55" spans="1:4" ht="15.75" customHeight="1" x14ac:dyDescent="0.15">
      <c r="A55" s="2">
        <v>120</v>
      </c>
      <c r="B55" s="7">
        <v>4031.3</v>
      </c>
      <c r="C55" s="7">
        <f t="shared" si="1"/>
        <v>157.13428010321473</v>
      </c>
      <c r="D55" s="10">
        <f t="shared" si="2"/>
        <v>1.522702213923129</v>
      </c>
    </row>
    <row r="56" spans="1:4" ht="15.75" customHeight="1" x14ac:dyDescent="0.15">
      <c r="A56" s="2">
        <v>135</v>
      </c>
      <c r="B56" s="7">
        <v>4118</v>
      </c>
      <c r="C56" s="7">
        <f t="shared" si="1"/>
        <v>160.5676484990143</v>
      </c>
      <c r="D56" s="10">
        <f t="shared" si="2"/>
        <v>1.5421253031898703</v>
      </c>
    </row>
    <row r="57" spans="1:4" ht="15.75" customHeight="1" x14ac:dyDescent="0.15">
      <c r="A57" s="2">
        <v>150</v>
      </c>
      <c r="B57" s="7">
        <v>4267.8999999999996</v>
      </c>
      <c r="C57" s="7">
        <f t="shared" si="1"/>
        <v>166.50377217295147</v>
      </c>
      <c r="D57" s="10">
        <f t="shared" si="2"/>
        <v>1.6090510510701095</v>
      </c>
    </row>
    <row r="58" spans="1:4" ht="15.75" customHeight="1" x14ac:dyDescent="0.15">
      <c r="A58" s="2">
        <v>165</v>
      </c>
      <c r="B58" s="7">
        <v>4165.7</v>
      </c>
      <c r="C58" s="7">
        <f t="shared" si="1"/>
        <v>162.45659512507703</v>
      </c>
      <c r="D58" s="10">
        <f t="shared" si="2"/>
        <v>1.4812279497638055</v>
      </c>
    </row>
    <row r="59" spans="1:4" ht="15.75" customHeight="1" x14ac:dyDescent="0.15">
      <c r="A59" s="2">
        <v>180</v>
      </c>
      <c r="B59" s="7">
        <v>4411</v>
      </c>
      <c r="C59" s="7">
        <f t="shared" si="1"/>
        <v>172.1706120511397</v>
      </c>
      <c r="D59" s="10">
        <f t="shared" si="2"/>
        <v>1.5577607845966031</v>
      </c>
    </row>
    <row r="60" spans="1:4" ht="15.75" customHeight="1" x14ac:dyDescent="0.15">
      <c r="A60" s="2">
        <v>195</v>
      </c>
      <c r="B60" s="7">
        <v>4302.1000000000004</v>
      </c>
      <c r="C60" s="7">
        <f t="shared" si="1"/>
        <v>167.85811126333613</v>
      </c>
      <c r="D60" s="10">
        <f t="shared" si="2"/>
        <v>1.5402652707712083</v>
      </c>
    </row>
    <row r="61" spans="1:4" ht="15.75" customHeight="1" x14ac:dyDescent="0.15">
      <c r="A61" s="2">
        <v>210</v>
      </c>
      <c r="B61" s="7">
        <v>4203.1000000000004</v>
      </c>
      <c r="C61" s="7">
        <f t="shared" si="1"/>
        <v>163.93765600169647</v>
      </c>
      <c r="D61" s="10">
        <f t="shared" si="2"/>
        <v>1.5141951504774003</v>
      </c>
    </row>
    <row r="62" spans="1:4" ht="15.75" customHeight="1" x14ac:dyDescent="0.15">
      <c r="A62" s="2">
        <v>225</v>
      </c>
      <c r="B62" s="7">
        <v>4475.6000000000004</v>
      </c>
      <c r="C62" s="7">
        <f t="shared" si="1"/>
        <v>174.72880811075507</v>
      </c>
      <c r="D62" s="10">
        <f t="shared" si="2"/>
        <v>1.6073993700920624</v>
      </c>
    </row>
    <row r="63" spans="1:4" ht="15.75" customHeight="1" x14ac:dyDescent="0.15">
      <c r="A63" s="2">
        <v>240</v>
      </c>
      <c r="B63" s="7">
        <v>4465.3999999999996</v>
      </c>
      <c r="C63" s="7">
        <f t="shared" si="1"/>
        <v>174.32488241713156</v>
      </c>
      <c r="D63" s="10">
        <f t="shared" si="2"/>
        <v>1.5438957992952167</v>
      </c>
    </row>
    <row r="64" spans="1:4" ht="15.75" customHeight="1" x14ac:dyDescent="0.15">
      <c r="C64" s="7"/>
    </row>
    <row r="65" spans="3:3" ht="15.75" customHeight="1" x14ac:dyDescent="0.15">
      <c r="C65" s="7"/>
    </row>
    <row r="66" spans="3:3" ht="15.75" customHeight="1" x14ac:dyDescent="0.15">
      <c r="C66" s="7"/>
    </row>
    <row r="67" spans="3:3" ht="15.75" customHeight="1" x14ac:dyDescent="0.15">
      <c r="C67" s="7"/>
    </row>
    <row r="68" spans="3:3" ht="15.75" customHeight="1" x14ac:dyDescent="0.15">
      <c r="C68" s="7"/>
    </row>
    <row r="69" spans="3:3" ht="15.75" customHeight="1" x14ac:dyDescent="0.15">
      <c r="C69" s="7"/>
    </row>
  </sheetData>
  <mergeCells count="3">
    <mergeCell ref="A1:M2"/>
    <mergeCell ref="E6:F6"/>
    <mergeCell ref="E37:F3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O168"/>
  <sheetViews>
    <sheetView workbookViewId="0"/>
  </sheetViews>
  <sheetFormatPr baseColWidth="10" defaultColWidth="12.6640625" defaultRowHeight="15.75" customHeight="1" x14ac:dyDescent="0.15"/>
  <cols>
    <col min="2" max="2" width="13.6640625" customWidth="1"/>
  </cols>
  <sheetData>
    <row r="1" spans="1:41" ht="15.75" customHeight="1" x14ac:dyDescent="0.15">
      <c r="A1" s="2" t="s">
        <v>51</v>
      </c>
      <c r="H1" s="9"/>
      <c r="I1" s="2" t="s">
        <v>52</v>
      </c>
      <c r="N1" s="9"/>
      <c r="O1" s="2" t="s">
        <v>53</v>
      </c>
      <c r="S1" s="9"/>
      <c r="T1" s="2" t="s">
        <v>54</v>
      </c>
      <c r="X1" s="9"/>
      <c r="Y1" s="2" t="s">
        <v>55</v>
      </c>
      <c r="AC1" s="9"/>
      <c r="AD1" s="2" t="s">
        <v>56</v>
      </c>
      <c r="AG1" s="9"/>
      <c r="AH1" s="2" t="s">
        <v>57</v>
      </c>
      <c r="AK1" s="9"/>
      <c r="AL1" s="2" t="s">
        <v>58</v>
      </c>
    </row>
    <row r="2" spans="1:41" ht="15.75" customHeight="1" x14ac:dyDescent="0.15">
      <c r="A2" s="38" t="s">
        <v>59</v>
      </c>
      <c r="B2" s="35"/>
      <c r="C2" s="35"/>
      <c r="D2" s="35"/>
      <c r="E2" s="35"/>
      <c r="H2" s="14"/>
      <c r="I2" s="6"/>
      <c r="N2" s="9"/>
      <c r="S2" s="9"/>
      <c r="X2" s="9"/>
      <c r="AC2" s="9"/>
      <c r="AG2" s="9"/>
      <c r="AK2" s="9"/>
    </row>
    <row r="3" spans="1:41" ht="15.75" customHeight="1" x14ac:dyDescent="0.15">
      <c r="B3" s="2" t="s">
        <v>60</v>
      </c>
      <c r="C3" s="2" t="s">
        <v>61</v>
      </c>
      <c r="D3" s="2" t="s">
        <v>62</v>
      </c>
      <c r="H3" s="9"/>
      <c r="J3" s="2" t="s">
        <v>63</v>
      </c>
      <c r="K3" s="2" t="s">
        <v>61</v>
      </c>
      <c r="N3" s="9"/>
      <c r="P3" s="2" t="s">
        <v>63</v>
      </c>
      <c r="Q3" s="2" t="s">
        <v>61</v>
      </c>
      <c r="S3" s="9"/>
      <c r="U3" s="2" t="s">
        <v>63</v>
      </c>
      <c r="V3" s="2" t="s">
        <v>61</v>
      </c>
      <c r="X3" s="9"/>
      <c r="Z3" s="2" t="s">
        <v>63</v>
      </c>
      <c r="AA3" s="2" t="s">
        <v>61</v>
      </c>
      <c r="AC3" s="9"/>
      <c r="AE3" s="2" t="s">
        <v>63</v>
      </c>
      <c r="AF3" s="2" t="s">
        <v>61</v>
      </c>
      <c r="AG3" s="9"/>
      <c r="AI3" s="2" t="s">
        <v>63</v>
      </c>
      <c r="AJ3" s="2" t="s">
        <v>61</v>
      </c>
      <c r="AK3" s="9"/>
      <c r="AM3" s="2" t="s">
        <v>63</v>
      </c>
      <c r="AN3" s="2" t="s">
        <v>61</v>
      </c>
    </row>
    <row r="4" spans="1:41" ht="15.75" customHeight="1" x14ac:dyDescent="0.15">
      <c r="A4" s="2" t="s">
        <v>64</v>
      </c>
      <c r="B4" s="2">
        <v>555.70000000000005</v>
      </c>
      <c r="C4" s="2">
        <v>15</v>
      </c>
      <c r="D4" s="15">
        <f t="shared" ref="D4:D8" si="0">$B$11*C4*B4/1000</f>
        <v>4.1677499999999998</v>
      </c>
      <c r="H4" s="9"/>
      <c r="I4" s="2" t="s">
        <v>64</v>
      </c>
      <c r="J4" s="2">
        <v>4.1247999999999996</v>
      </c>
      <c r="K4" s="2">
        <f>(J4/B$4)*1000/J11</f>
        <v>15.068432999137636</v>
      </c>
      <c r="L4" s="15"/>
      <c r="N4" s="9"/>
      <c r="O4" s="2" t="s">
        <v>64</v>
      </c>
      <c r="P4" s="2">
        <v>2.0522999999999998</v>
      </c>
      <c r="Q4" s="2">
        <f t="shared" ref="Q4:Q8" si="1">(P4/$B4)*1000/$P$11</f>
        <v>14.28143763827901</v>
      </c>
      <c r="R4" s="15"/>
      <c r="S4" s="9"/>
      <c r="T4" s="2" t="s">
        <v>64</v>
      </c>
      <c r="U4" s="2">
        <v>4.1458000000000004</v>
      </c>
      <c r="V4" s="2">
        <f t="shared" ref="V4:V8" si="2">(U4/$B4)*1000/$U$11</f>
        <v>15.029210858037509</v>
      </c>
      <c r="W4" s="15"/>
      <c r="X4" s="9"/>
      <c r="Y4" s="2" t="s">
        <v>64</v>
      </c>
      <c r="Z4" s="2">
        <v>4.1425999999999998</v>
      </c>
      <c r="AA4" s="2">
        <f t="shared" ref="AA4:AA8" si="3">(Z4/$B4)*1000/$Z$11</f>
        <v>15.00853989760528</v>
      </c>
      <c r="AB4" s="15"/>
      <c r="AC4" s="9"/>
      <c r="AD4" s="2" t="s">
        <v>64</v>
      </c>
      <c r="AE4" s="2">
        <v>4.1665999999999999</v>
      </c>
      <c r="AF4" s="2">
        <f t="shared" ref="AF4:AF8" si="4">(AE4/$B4)*1000/$Z$11</f>
        <v>15.095491318824449</v>
      </c>
      <c r="AG4" s="9"/>
      <c r="AH4" s="2" t="s">
        <v>64</v>
      </c>
      <c r="AI4" s="2">
        <v>4.1608000000000001</v>
      </c>
      <c r="AJ4" s="2">
        <f t="shared" ref="AJ4:AJ8" si="5">(AI4/$B4)*1000/$Z$11</f>
        <v>15.074478058696483</v>
      </c>
      <c r="AK4" s="9"/>
      <c r="AL4" s="2" t="s">
        <v>64</v>
      </c>
      <c r="AM4" s="2">
        <v>4.173</v>
      </c>
      <c r="AN4" s="2">
        <f t="shared" ref="AN4:AN8" si="6">(AM4/$B4)*1000/$Z$11</f>
        <v>15.118678364482895</v>
      </c>
    </row>
    <row r="5" spans="1:41" ht="15.75" customHeight="1" x14ac:dyDescent="0.15">
      <c r="A5" s="2" t="s">
        <v>65</v>
      </c>
      <c r="B5" s="2">
        <v>750</v>
      </c>
      <c r="C5" s="2">
        <v>3.75</v>
      </c>
      <c r="D5" s="15">
        <f t="shared" si="0"/>
        <v>1.40625</v>
      </c>
      <c r="H5" s="9"/>
      <c r="I5" s="2" t="s">
        <v>65</v>
      </c>
      <c r="J5" s="2">
        <v>1.4663999999999999</v>
      </c>
      <c r="K5" s="2">
        <f t="shared" ref="K5:K8" si="7">(J5/$B5)*1000/$J$11</f>
        <v>3.9691433211530649</v>
      </c>
      <c r="L5" s="15"/>
      <c r="N5" s="9"/>
      <c r="O5" s="2" t="s">
        <v>65</v>
      </c>
      <c r="P5" s="2">
        <v>0.7258</v>
      </c>
      <c r="Q5" s="2">
        <f t="shared" si="1"/>
        <v>3.7422015983500905</v>
      </c>
      <c r="R5" s="15"/>
      <c r="S5" s="9"/>
      <c r="T5" s="2" t="s">
        <v>65</v>
      </c>
      <c r="U5" s="2">
        <v>1.4097999999999999</v>
      </c>
      <c r="V5" s="2">
        <f t="shared" si="2"/>
        <v>3.7867311308084881</v>
      </c>
      <c r="W5" s="15"/>
      <c r="X5" s="9"/>
      <c r="Y5" s="2" t="s">
        <v>65</v>
      </c>
      <c r="Z5" s="2">
        <v>1.4032</v>
      </c>
      <c r="AA5" s="2">
        <f t="shared" si="3"/>
        <v>3.7667270652976312</v>
      </c>
      <c r="AB5" s="15"/>
      <c r="AC5" s="9"/>
      <c r="AD5" s="2" t="s">
        <v>65</v>
      </c>
      <c r="AE5" s="2">
        <v>1.4054</v>
      </c>
      <c r="AF5" s="2">
        <f t="shared" si="4"/>
        <v>3.7726327092141467</v>
      </c>
      <c r="AG5" s="9"/>
      <c r="AH5" s="2" t="s">
        <v>65</v>
      </c>
      <c r="AI5" s="2">
        <v>1.4267000000000001</v>
      </c>
      <c r="AJ5" s="2">
        <f t="shared" si="5"/>
        <v>3.8298100798604127</v>
      </c>
      <c r="AK5" s="9"/>
      <c r="AL5" s="2" t="s">
        <v>65</v>
      </c>
      <c r="AM5" s="2">
        <v>1.4198</v>
      </c>
      <c r="AN5" s="2">
        <f t="shared" si="6"/>
        <v>3.8112878330313404</v>
      </c>
    </row>
    <row r="6" spans="1:41" x14ac:dyDescent="0.2">
      <c r="A6" s="2" t="s">
        <v>66</v>
      </c>
      <c r="B6" s="16">
        <v>60.052</v>
      </c>
      <c r="C6" s="7">
        <f t="shared" ref="C6:C8" si="8">E6/B6*1000</f>
        <v>144.04183041364152</v>
      </c>
      <c r="D6" s="15">
        <f t="shared" si="0"/>
        <v>4.3250000000000002</v>
      </c>
      <c r="E6" s="2">
        <v>8.65</v>
      </c>
      <c r="F6" s="2">
        <v>1.05</v>
      </c>
      <c r="G6" s="2" t="s">
        <v>67</v>
      </c>
      <c r="H6" s="9"/>
      <c r="I6" s="2" t="s">
        <v>66</v>
      </c>
      <c r="J6" s="15">
        <f>4.12*1.05</f>
        <v>4.3260000000000005</v>
      </c>
      <c r="K6" s="2">
        <f t="shared" si="7"/>
        <v>146.23947917488968</v>
      </c>
      <c r="L6" s="15"/>
      <c r="N6" s="9"/>
      <c r="O6" s="2" t="s">
        <v>66</v>
      </c>
      <c r="P6" s="15">
        <f>2*1.05</f>
        <v>2.1</v>
      </c>
      <c r="Q6" s="2">
        <f t="shared" si="1"/>
        <v>135.22696416392722</v>
      </c>
      <c r="R6" s="15"/>
      <c r="S6" s="9"/>
      <c r="T6" s="2" t="s">
        <v>66</v>
      </c>
      <c r="U6" s="15">
        <f>J6</f>
        <v>4.3260000000000005</v>
      </c>
      <c r="V6" s="2">
        <f t="shared" si="2"/>
        <v>145.11999887500136</v>
      </c>
      <c r="W6" s="15"/>
      <c r="X6" s="9"/>
      <c r="Y6" s="2" t="s">
        <v>66</v>
      </c>
      <c r="Z6" s="15">
        <v>4.3259999999999996</v>
      </c>
      <c r="AA6" s="2">
        <f t="shared" si="3"/>
        <v>145.03234838242531</v>
      </c>
      <c r="AB6" s="15"/>
      <c r="AC6" s="9"/>
      <c r="AD6" s="2" t="s">
        <v>66</v>
      </c>
      <c r="AE6" s="15">
        <v>4.3259999999999996</v>
      </c>
      <c r="AF6" s="2">
        <f t="shared" si="4"/>
        <v>145.03234838242531</v>
      </c>
      <c r="AG6" s="9"/>
      <c r="AH6" s="2" t="s">
        <v>66</v>
      </c>
      <c r="AI6" s="15">
        <v>4.3259999999999996</v>
      </c>
      <c r="AJ6" s="2">
        <f t="shared" si="5"/>
        <v>145.03234838242531</v>
      </c>
      <c r="AK6" s="9"/>
      <c r="AL6" s="2" t="s">
        <v>66</v>
      </c>
      <c r="AM6" s="15">
        <v>4.3259999999999996</v>
      </c>
      <c r="AN6" s="2">
        <f t="shared" si="6"/>
        <v>145.03234838242531</v>
      </c>
    </row>
    <row r="7" spans="1:41" ht="15.75" customHeight="1" x14ac:dyDescent="0.15">
      <c r="A7" s="2" t="s">
        <v>68</v>
      </c>
      <c r="B7" s="2">
        <v>40</v>
      </c>
      <c r="C7" s="7">
        <f t="shared" si="8"/>
        <v>101</v>
      </c>
      <c r="D7" s="15">
        <f t="shared" si="0"/>
        <v>2.02</v>
      </c>
      <c r="E7" s="2">
        <v>4.04</v>
      </c>
      <c r="F7" s="2">
        <f>D6/F6</f>
        <v>4.1190476190476186</v>
      </c>
      <c r="G7" s="2" t="s">
        <v>69</v>
      </c>
      <c r="H7" s="9"/>
      <c r="I7" s="2" t="s">
        <v>68</v>
      </c>
      <c r="J7" s="2">
        <v>2.0598999999999998</v>
      </c>
      <c r="K7" s="2">
        <f t="shared" si="7"/>
        <v>104.54222492894841</v>
      </c>
      <c r="L7" s="15"/>
      <c r="N7" s="9"/>
      <c r="O7" s="2" t="s">
        <v>68</v>
      </c>
      <c r="P7" s="2">
        <v>1.0818000000000001</v>
      </c>
      <c r="Q7" s="2">
        <f t="shared" si="1"/>
        <v>104.58236658932715</v>
      </c>
      <c r="R7" s="15"/>
      <c r="S7" s="9"/>
      <c r="T7" s="2" t="s">
        <v>68</v>
      </c>
      <c r="U7" s="2">
        <v>2.0543</v>
      </c>
      <c r="V7" s="2">
        <f t="shared" si="2"/>
        <v>103.45991136180501</v>
      </c>
      <c r="W7" s="15"/>
      <c r="X7" s="9"/>
      <c r="Y7" s="2" t="s">
        <v>68</v>
      </c>
      <c r="Z7" s="2">
        <v>2.0297999999999998</v>
      </c>
      <c r="AA7" s="2">
        <f t="shared" si="3"/>
        <v>102.16428427622307</v>
      </c>
      <c r="AB7" s="15"/>
      <c r="AC7" s="9"/>
      <c r="AD7" s="2" t="s">
        <v>68</v>
      </c>
      <c r="AE7" s="2">
        <v>2.0291000000000001</v>
      </c>
      <c r="AF7" s="2">
        <f t="shared" si="4"/>
        <v>102.12905174149387</v>
      </c>
      <c r="AG7" s="9"/>
      <c r="AH7" s="2" t="s">
        <v>68</v>
      </c>
      <c r="AI7" s="2">
        <v>2.0565000000000002</v>
      </c>
      <c r="AJ7" s="2">
        <f t="shared" si="5"/>
        <v>103.50815381518021</v>
      </c>
      <c r="AK7" s="9"/>
      <c r="AL7" s="2" t="s">
        <v>68</v>
      </c>
      <c r="AM7" s="2">
        <v>2.0160999999999998</v>
      </c>
      <c r="AN7" s="2">
        <f t="shared" si="6"/>
        <v>101.4747332393799</v>
      </c>
    </row>
    <row r="8" spans="1:41" ht="15.75" customHeight="1" x14ac:dyDescent="0.15">
      <c r="A8" s="2" t="s">
        <v>70</v>
      </c>
      <c r="B8" s="2">
        <v>58.44</v>
      </c>
      <c r="C8" s="7">
        <f t="shared" si="8"/>
        <v>203.1827515400411</v>
      </c>
      <c r="D8" s="15">
        <f t="shared" si="0"/>
        <v>5.9370000000000012</v>
      </c>
      <c r="E8" s="2">
        <v>11.874000000000001</v>
      </c>
      <c r="F8" s="2">
        <f>F7/2</f>
        <v>2.0595238095238093</v>
      </c>
      <c r="H8" s="9"/>
      <c r="I8" s="2" t="s">
        <v>70</v>
      </c>
      <c r="J8" s="2">
        <v>6.0911</v>
      </c>
      <c r="K8" s="2">
        <f t="shared" si="7"/>
        <v>211.5880396049069</v>
      </c>
      <c r="L8" s="15"/>
      <c r="N8" s="9"/>
      <c r="O8" s="2" t="s">
        <v>70</v>
      </c>
      <c r="P8" s="2">
        <v>2.9438</v>
      </c>
      <c r="Q8" s="2">
        <f t="shared" si="1"/>
        <v>194.79130769430299</v>
      </c>
      <c r="R8" s="15"/>
      <c r="S8" s="9"/>
      <c r="T8" s="2" t="s">
        <v>70</v>
      </c>
      <c r="U8" s="2">
        <v>5.9435000000000002</v>
      </c>
      <c r="V8" s="2">
        <f t="shared" si="2"/>
        <v>204.88034036713896</v>
      </c>
      <c r="W8" s="15"/>
      <c r="X8" s="9"/>
      <c r="Y8" s="2" t="s">
        <v>70</v>
      </c>
      <c r="Z8" s="2">
        <v>6.0084</v>
      </c>
      <c r="AA8" s="2">
        <f t="shared" si="3"/>
        <v>206.99243342818249</v>
      </c>
      <c r="AB8" s="15"/>
      <c r="AC8" s="9"/>
      <c r="AD8" s="2" t="s">
        <v>70</v>
      </c>
      <c r="AE8" s="2">
        <v>5.9242999999999997</v>
      </c>
      <c r="AF8" s="2">
        <f t="shared" si="4"/>
        <v>204.09514568913212</v>
      </c>
      <c r="AG8" s="9"/>
      <c r="AH8" s="2" t="s">
        <v>70</v>
      </c>
      <c r="AI8" s="2">
        <v>5.9977999999999998</v>
      </c>
      <c r="AJ8" s="2">
        <f t="shared" si="5"/>
        <v>206.6272580413343</v>
      </c>
      <c r="AK8" s="9"/>
      <c r="AL8" s="2" t="s">
        <v>70</v>
      </c>
      <c r="AM8" s="2">
        <v>5.9748000000000001</v>
      </c>
      <c r="AN8" s="2">
        <f t="shared" si="6"/>
        <v>205.8348963528901</v>
      </c>
    </row>
    <row r="9" spans="1:41" ht="15.75" customHeight="1" x14ac:dyDescent="0.15">
      <c r="H9" s="9"/>
      <c r="N9" s="9"/>
      <c r="S9" s="9"/>
      <c r="X9" s="9"/>
      <c r="AC9" s="9"/>
      <c r="AG9" s="9"/>
      <c r="AK9" s="9"/>
    </row>
    <row r="10" spans="1:41" ht="15.75" customHeight="1" x14ac:dyDescent="0.15">
      <c r="H10" s="9"/>
      <c r="N10" s="9"/>
      <c r="S10" s="9"/>
      <c r="X10" s="9"/>
      <c r="AC10" s="9"/>
      <c r="AG10" s="9"/>
      <c r="AK10" s="9"/>
    </row>
    <row r="11" spans="1:41" ht="15.75" customHeight="1" x14ac:dyDescent="0.15">
      <c r="A11" s="2" t="s">
        <v>71</v>
      </c>
      <c r="B11" s="2">
        <v>0.5</v>
      </c>
      <c r="D11" s="2" t="s">
        <v>72</v>
      </c>
      <c r="E11" s="7">
        <v>5</v>
      </c>
      <c r="H11" s="9"/>
      <c r="I11" s="2" t="s">
        <v>73</v>
      </c>
      <c r="J11" s="2">
        <f>J12/1000</f>
        <v>0.49260000000000004</v>
      </c>
      <c r="L11" s="2" t="s">
        <v>74</v>
      </c>
      <c r="N11" s="9"/>
      <c r="O11" s="2" t="s">
        <v>73</v>
      </c>
      <c r="P11" s="2">
        <f>P12/1000</f>
        <v>0.2586</v>
      </c>
      <c r="R11" s="2" t="s">
        <v>74</v>
      </c>
      <c r="S11" s="9"/>
      <c r="T11" s="2" t="s">
        <v>73</v>
      </c>
      <c r="U11" s="2">
        <f>U12/1000</f>
        <v>0.49639999999999995</v>
      </c>
      <c r="V11" s="2" t="s">
        <v>75</v>
      </c>
      <c r="W11" s="2" t="s">
        <v>74</v>
      </c>
      <c r="X11" s="9"/>
      <c r="Y11" s="2" t="s">
        <v>73</v>
      </c>
      <c r="Z11" s="2">
        <f>Z12/1000</f>
        <v>0.49669999999999997</v>
      </c>
      <c r="AB11" s="2" t="s">
        <v>74</v>
      </c>
      <c r="AC11" s="9"/>
      <c r="AD11" s="2" t="s">
        <v>73</v>
      </c>
      <c r="AE11" s="2">
        <f>AE12/1000</f>
        <v>0.49939999999999996</v>
      </c>
      <c r="AG11" s="9"/>
      <c r="AH11" s="2" t="s">
        <v>73</v>
      </c>
      <c r="AI11" s="2">
        <f>AI12/1000</f>
        <v>0.50119999999999998</v>
      </c>
      <c r="AK11" s="9"/>
      <c r="AL11" s="2" t="s">
        <v>73</v>
      </c>
      <c r="AM11" s="2">
        <f>AM12/1000</f>
        <v>0.50119999999999998</v>
      </c>
    </row>
    <row r="12" spans="1:41" ht="15.75" customHeight="1" x14ac:dyDescent="0.15">
      <c r="A12" s="17"/>
      <c r="B12" s="17"/>
      <c r="C12" s="17"/>
      <c r="D12" s="17"/>
      <c r="E12" s="17"/>
      <c r="F12" s="17"/>
      <c r="G12" s="17"/>
      <c r="H12" s="9"/>
      <c r="J12" s="2">
        <v>492.6</v>
      </c>
      <c r="K12" s="2" t="s">
        <v>76</v>
      </c>
      <c r="M12" s="17"/>
      <c r="N12" s="9"/>
      <c r="P12" s="2">
        <v>258.60000000000002</v>
      </c>
      <c r="Q12" s="2" t="s">
        <v>76</v>
      </c>
      <c r="S12" s="9"/>
      <c r="U12" s="2">
        <v>496.4</v>
      </c>
      <c r="V12" s="2" t="s">
        <v>76</v>
      </c>
      <c r="X12" s="9"/>
      <c r="Z12" s="2">
        <v>496.7</v>
      </c>
      <c r="AA12" s="2" t="s">
        <v>76</v>
      </c>
      <c r="AC12" s="9"/>
      <c r="AE12" s="2">
        <v>499.4</v>
      </c>
      <c r="AF12" s="2" t="s">
        <v>76</v>
      </c>
      <c r="AG12" s="9"/>
      <c r="AI12" s="2">
        <v>501.2</v>
      </c>
      <c r="AJ12" s="2" t="s">
        <v>76</v>
      </c>
      <c r="AK12" s="9"/>
      <c r="AM12" s="2">
        <v>501.2</v>
      </c>
      <c r="AN12" s="2" t="s">
        <v>76</v>
      </c>
    </row>
    <row r="13" spans="1:41" ht="15.75" customHeight="1" x14ac:dyDescent="0.15">
      <c r="A13" s="14" t="s">
        <v>77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18">
        <v>44945</v>
      </c>
      <c r="AM13" s="9"/>
      <c r="AN13" s="9"/>
      <c r="AO13" s="9"/>
    </row>
    <row r="14" spans="1:41" ht="15.75" customHeight="1" x14ac:dyDescent="0.15">
      <c r="A14" s="2" t="s">
        <v>78</v>
      </c>
      <c r="F14" s="2" t="s">
        <v>79</v>
      </c>
      <c r="AK14" s="9"/>
      <c r="AL14" s="2" t="s">
        <v>58</v>
      </c>
    </row>
    <row r="15" spans="1:41" ht="15.75" customHeight="1" x14ac:dyDescent="0.15">
      <c r="B15" s="2"/>
      <c r="AK15" s="9"/>
    </row>
    <row r="16" spans="1:41" ht="15.75" customHeight="1" x14ac:dyDescent="0.15">
      <c r="B16" s="2"/>
      <c r="AK16" s="9"/>
      <c r="AM16" s="2" t="s">
        <v>63</v>
      </c>
      <c r="AN16" s="2" t="s">
        <v>61</v>
      </c>
    </row>
    <row r="17" spans="1:40" ht="15.75" customHeight="1" x14ac:dyDescent="0.15">
      <c r="B17" s="2"/>
      <c r="AK17" s="9"/>
      <c r="AL17" s="2" t="s">
        <v>64</v>
      </c>
      <c r="AM17" s="2">
        <v>4.1614000000000004</v>
      </c>
      <c r="AN17" s="2" t="e">
        <f t="shared" ref="AN17:AN21" si="9">(AM17/$B17)*1000/$Z$11</f>
        <v>#DIV/0!</v>
      </c>
    </row>
    <row r="18" spans="1:40" ht="15.75" customHeight="1" x14ac:dyDescent="0.15">
      <c r="B18" s="2" t="s">
        <v>80</v>
      </c>
      <c r="D18" s="2" t="s">
        <v>81</v>
      </c>
      <c r="AK18" s="9"/>
      <c r="AL18" s="2" t="s">
        <v>65</v>
      </c>
      <c r="AM18" s="2">
        <v>1.4157999999999999</v>
      </c>
      <c r="AN18" s="2" t="e">
        <f t="shared" si="9"/>
        <v>#VALUE!</v>
      </c>
    </row>
    <row r="19" spans="1:40" ht="15.75" customHeight="1" x14ac:dyDescent="0.15">
      <c r="A19" s="4" t="s">
        <v>3</v>
      </c>
      <c r="B19" s="4" t="s">
        <v>82</v>
      </c>
      <c r="C19" s="4" t="s">
        <v>83</v>
      </c>
      <c r="D19" s="4" t="s">
        <v>82</v>
      </c>
      <c r="E19" s="4" t="s">
        <v>83</v>
      </c>
      <c r="AK19" s="9"/>
      <c r="AL19" s="2" t="s">
        <v>66</v>
      </c>
      <c r="AM19" s="15">
        <v>4.3259999999999996</v>
      </c>
      <c r="AN19" s="2" t="e">
        <f t="shared" si="9"/>
        <v>#VALUE!</v>
      </c>
    </row>
    <row r="20" spans="1:40" ht="15.75" customHeight="1" x14ac:dyDescent="0.15">
      <c r="A20" s="2">
        <v>2.5</v>
      </c>
      <c r="B20" s="15">
        <v>557.99080000000004</v>
      </c>
      <c r="C20" s="19">
        <v>21.686</v>
      </c>
      <c r="D20" s="2">
        <v>139.86429999999999</v>
      </c>
      <c r="E20" s="2">
        <v>4.2560000000000002</v>
      </c>
      <c r="AK20" s="9"/>
      <c r="AL20" s="2" t="s">
        <v>68</v>
      </c>
      <c r="AM20" s="2">
        <v>2.0430000000000001</v>
      </c>
      <c r="AN20" s="2">
        <f t="shared" si="9"/>
        <v>7.3713523030724586</v>
      </c>
    </row>
    <row r="21" spans="1:40" ht="15.75" customHeight="1" x14ac:dyDescent="0.15">
      <c r="A21" s="2">
        <v>5</v>
      </c>
      <c r="B21" s="15">
        <v>848.52610000000004</v>
      </c>
      <c r="C21" s="19">
        <v>33.796999999999997</v>
      </c>
      <c r="D21" s="2">
        <v>137.55500000000001</v>
      </c>
      <c r="E21" s="2">
        <v>4.1589999999999998</v>
      </c>
      <c r="AK21" s="9"/>
      <c r="AL21" s="2" t="s">
        <v>70</v>
      </c>
      <c r="AM21" s="2">
        <v>5.9566999999999997</v>
      </c>
      <c r="AN21" s="2">
        <f t="shared" si="9"/>
        <v>14.133390635260829</v>
      </c>
    </row>
    <row r="22" spans="1:40" ht="15.75" customHeight="1" x14ac:dyDescent="0.15">
      <c r="A22" s="2">
        <v>7.5</v>
      </c>
      <c r="B22" s="19">
        <v>1093.3155999999999</v>
      </c>
      <c r="C22" s="19">
        <v>44.000999999999998</v>
      </c>
      <c r="D22" s="2">
        <v>190.30609999999999</v>
      </c>
      <c r="E22" s="2">
        <v>6.3579999999999997</v>
      </c>
      <c r="AK22" s="9"/>
    </row>
    <row r="23" spans="1:40" ht="15.75" customHeight="1" x14ac:dyDescent="0.15">
      <c r="A23" s="2">
        <v>10</v>
      </c>
      <c r="B23" s="19">
        <v>1322.8768</v>
      </c>
      <c r="C23" s="19">
        <v>53.57</v>
      </c>
      <c r="D23" s="2">
        <v>228.94589999999999</v>
      </c>
      <c r="E23" s="2">
        <v>7.9690000000000003</v>
      </c>
      <c r="AK23" s="9"/>
    </row>
    <row r="24" spans="1:40" ht="15.75" customHeight="1" x14ac:dyDescent="0.15">
      <c r="A24" s="2">
        <v>15</v>
      </c>
      <c r="B24" s="19">
        <v>1601.4558</v>
      </c>
      <c r="C24" s="19">
        <v>65.183000000000007</v>
      </c>
      <c r="D24" s="2">
        <v>336.71589999999998</v>
      </c>
      <c r="E24" s="2">
        <v>12.462</v>
      </c>
      <c r="AK24" s="9"/>
      <c r="AL24" s="2" t="s">
        <v>73</v>
      </c>
      <c r="AM24" s="2">
        <f>AM25/1000</f>
        <v>0.50080000000000002</v>
      </c>
    </row>
    <row r="25" spans="1:40" ht="15.75" customHeight="1" x14ac:dyDescent="0.15">
      <c r="A25" s="2">
        <v>20</v>
      </c>
      <c r="B25" s="15">
        <v>1844.1211000000001</v>
      </c>
      <c r="C25" s="19">
        <v>75.299000000000007</v>
      </c>
      <c r="D25" s="2">
        <v>449.21699999999998</v>
      </c>
      <c r="E25" s="2">
        <v>17.042999999999999</v>
      </c>
      <c r="AK25" s="9"/>
      <c r="AM25" s="2">
        <v>500.8</v>
      </c>
      <c r="AN25" s="2" t="s">
        <v>76</v>
      </c>
    </row>
    <row r="26" spans="1:40" ht="15.75" customHeight="1" x14ac:dyDescent="0.15">
      <c r="A26" s="2">
        <v>25</v>
      </c>
      <c r="B26" s="15">
        <v>2008.4921999999999</v>
      </c>
      <c r="C26" s="19">
        <v>82.150999999999996</v>
      </c>
      <c r="D26" s="2">
        <v>446.62700000000001</v>
      </c>
      <c r="E26" s="2">
        <v>17.151</v>
      </c>
      <c r="AK26" s="9"/>
      <c r="AL26" s="18">
        <v>44946</v>
      </c>
      <c r="AM26" s="9"/>
      <c r="AN26" s="9"/>
    </row>
    <row r="27" spans="1:40" ht="15.75" customHeight="1" x14ac:dyDescent="0.15">
      <c r="A27" s="2">
        <v>30</v>
      </c>
      <c r="B27" s="15">
        <v>2292.5837000000001</v>
      </c>
      <c r="C27" s="19">
        <v>93.992999999999995</v>
      </c>
      <c r="D27" s="2">
        <v>546.44590000000005</v>
      </c>
      <c r="E27" s="2">
        <v>21.204000000000001</v>
      </c>
    </row>
    <row r="28" spans="1:40" ht="15.75" customHeight="1" x14ac:dyDescent="0.15">
      <c r="A28" s="2">
        <v>40</v>
      </c>
      <c r="B28" s="15">
        <v>2499.3537999999999</v>
      </c>
      <c r="C28" s="19">
        <v>102.613</v>
      </c>
      <c r="D28" s="2">
        <v>633.57039999999995</v>
      </c>
      <c r="E28" s="2">
        <v>24.835999999999999</v>
      </c>
    </row>
    <row r="29" spans="1:40" ht="15.75" customHeight="1" x14ac:dyDescent="0.15">
      <c r="A29" s="2">
        <v>50</v>
      </c>
      <c r="B29" s="15">
        <v>2782.5374000000002</v>
      </c>
      <c r="C29" s="19">
        <v>114.417</v>
      </c>
      <c r="D29" s="2">
        <v>684.40419999999995</v>
      </c>
      <c r="E29" s="2">
        <v>26.954999999999998</v>
      </c>
    </row>
    <row r="30" spans="1:40" ht="15.75" customHeight="1" x14ac:dyDescent="0.15">
      <c r="A30" s="2">
        <v>60</v>
      </c>
      <c r="B30" s="15">
        <v>2976.7094999999999</v>
      </c>
      <c r="C30" s="19">
        <v>122.512</v>
      </c>
      <c r="D30" s="2">
        <v>776.8193</v>
      </c>
      <c r="E30" s="2">
        <v>30.808</v>
      </c>
    </row>
    <row r="31" spans="1:40" ht="15.75" customHeight="1" x14ac:dyDescent="0.15">
      <c r="A31" s="2">
        <v>75</v>
      </c>
      <c r="B31" s="15">
        <v>3173.3283999999999</v>
      </c>
      <c r="C31" s="19">
        <v>130.708</v>
      </c>
      <c r="D31" s="2">
        <v>930.62379999999996</v>
      </c>
      <c r="E31" s="2">
        <v>37.219000000000001</v>
      </c>
    </row>
    <row r="32" spans="1:40" ht="15.75" customHeight="1" x14ac:dyDescent="0.15">
      <c r="A32" s="2">
        <v>90</v>
      </c>
      <c r="B32" s="15">
        <v>3390.0895999999998</v>
      </c>
      <c r="C32" s="19">
        <v>139.744</v>
      </c>
      <c r="D32" s="2">
        <v>1111.0519999999999</v>
      </c>
      <c r="E32" s="2">
        <v>44.74</v>
      </c>
    </row>
    <row r="33" spans="1:16" ht="15.75" customHeight="1" x14ac:dyDescent="0.15">
      <c r="A33" s="2">
        <v>105</v>
      </c>
      <c r="B33" s="15">
        <v>3542.9250000000002</v>
      </c>
      <c r="C33" s="19">
        <v>146.11500000000001</v>
      </c>
      <c r="D33" s="2">
        <v>1204.6001000000001</v>
      </c>
      <c r="E33" s="2">
        <v>48.64</v>
      </c>
    </row>
    <row r="34" spans="1:16" ht="15.75" customHeight="1" x14ac:dyDescent="0.15">
      <c r="A34" s="2">
        <v>120</v>
      </c>
      <c r="B34" s="15">
        <v>3687.8420000000001</v>
      </c>
      <c r="C34" s="19">
        <v>152.15600000000001</v>
      </c>
      <c r="D34" s="2">
        <v>1342.6146000000001</v>
      </c>
      <c r="E34" s="2">
        <v>54.393000000000001</v>
      </c>
    </row>
    <row r="35" spans="1:16" ht="15.75" customHeight="1" x14ac:dyDescent="0.15">
      <c r="A35" s="2">
        <v>135</v>
      </c>
      <c r="B35" s="15">
        <v>3811.5844999999999</v>
      </c>
      <c r="C35" s="19">
        <v>157.31399999999999</v>
      </c>
      <c r="D35" s="2">
        <v>1476.5228</v>
      </c>
      <c r="E35" s="2">
        <v>59.975000000000001</v>
      </c>
    </row>
    <row r="36" spans="1:16" ht="15.75" customHeight="1" x14ac:dyDescent="0.15">
      <c r="A36" s="2">
        <v>150</v>
      </c>
      <c r="B36" s="15">
        <v>3943.3510999999999</v>
      </c>
      <c r="C36" s="19">
        <v>162.80699999999999</v>
      </c>
      <c r="D36" s="2">
        <v>1618.1333999999999</v>
      </c>
      <c r="E36" s="2">
        <v>65.878</v>
      </c>
    </row>
    <row r="37" spans="1:16" ht="15.75" customHeight="1" x14ac:dyDescent="0.15">
      <c r="A37" s="2">
        <v>165</v>
      </c>
      <c r="B37" s="15">
        <v>4038.6145000000001</v>
      </c>
      <c r="C37" s="19">
        <v>166.77799999999999</v>
      </c>
      <c r="D37" s="2">
        <v>1697.3239000000001</v>
      </c>
      <c r="E37" s="2">
        <v>69.180000000000007</v>
      </c>
    </row>
    <row r="38" spans="1:16" ht="15.75" customHeight="1" x14ac:dyDescent="0.15">
      <c r="A38" s="2">
        <v>180</v>
      </c>
      <c r="B38" s="15">
        <v>4123.7245999999996</v>
      </c>
      <c r="C38" s="19">
        <v>170.32599999999999</v>
      </c>
      <c r="D38" s="2">
        <v>1816.8604</v>
      </c>
      <c r="E38" s="2">
        <v>74.162000000000006</v>
      </c>
    </row>
    <row r="39" spans="1:16" ht="15.75" customHeight="1" x14ac:dyDescent="0.15">
      <c r="A39" s="2">
        <v>195</v>
      </c>
      <c r="B39" s="15">
        <v>4137.3222999999998</v>
      </c>
      <c r="C39" s="19">
        <v>170.893</v>
      </c>
      <c r="D39" s="2">
        <v>1926.4774</v>
      </c>
      <c r="E39" s="2">
        <v>78.731999999999999</v>
      </c>
    </row>
    <row r="40" spans="1:16" ht="15.75" customHeight="1" x14ac:dyDescent="0.15">
      <c r="A40" s="2">
        <v>210</v>
      </c>
      <c r="B40" s="15">
        <v>4230.7992999999997</v>
      </c>
      <c r="C40" s="19">
        <v>174.78899999999999</v>
      </c>
      <c r="D40" s="2">
        <v>2006.8417999999999</v>
      </c>
      <c r="E40" s="2">
        <v>82.081999999999994</v>
      </c>
    </row>
    <row r="41" spans="1:16" ht="15.75" customHeight="1" x14ac:dyDescent="0.15">
      <c r="A41" s="2">
        <v>225</v>
      </c>
      <c r="B41" s="15">
        <v>4304.4242999999997</v>
      </c>
      <c r="C41" s="19">
        <v>177.858</v>
      </c>
      <c r="D41" s="2">
        <v>2164.1723999999999</v>
      </c>
      <c r="E41" s="2">
        <v>88.64</v>
      </c>
    </row>
    <row r="42" spans="1:16" ht="15.75" customHeight="1" x14ac:dyDescent="0.15">
      <c r="A42" s="2">
        <v>240</v>
      </c>
      <c r="B42" s="15">
        <v>4364.5303000000004</v>
      </c>
      <c r="C42" s="19">
        <v>180.364</v>
      </c>
      <c r="D42" s="2">
        <v>2169.2849000000001</v>
      </c>
      <c r="E42" s="2">
        <v>88.853999999999999</v>
      </c>
    </row>
    <row r="47" spans="1:16" ht="15.75" customHeight="1" x14ac:dyDescent="0.15">
      <c r="A47" s="20" t="s">
        <v>84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</row>
    <row r="48" spans="1:16" ht="15.75" customHeight="1" x14ac:dyDescent="0.15">
      <c r="A48" s="2" t="s">
        <v>85</v>
      </c>
    </row>
    <row r="50" spans="1:3" ht="15.75" customHeight="1" x14ac:dyDescent="0.15">
      <c r="B50" s="2"/>
    </row>
    <row r="51" spans="1:3" ht="15.75" customHeight="1" x14ac:dyDescent="0.15">
      <c r="B51" s="2"/>
    </row>
    <row r="52" spans="1:3" ht="15.75" customHeight="1" x14ac:dyDescent="0.15">
      <c r="B52" s="2" t="s">
        <v>86</v>
      </c>
    </row>
    <row r="53" spans="1:3" ht="15.75" customHeight="1" x14ac:dyDescent="0.15">
      <c r="A53" s="4" t="s">
        <v>3</v>
      </c>
      <c r="B53" s="4" t="s">
        <v>82</v>
      </c>
      <c r="C53" s="4" t="s">
        <v>83</v>
      </c>
    </row>
    <row r="54" spans="1:3" ht="15.75" customHeight="1" x14ac:dyDescent="0.15">
      <c r="A54" s="2">
        <v>2.5</v>
      </c>
      <c r="B54" s="15">
        <v>664.40509999999995</v>
      </c>
      <c r="C54" s="19">
        <v>26.122</v>
      </c>
    </row>
    <row r="55" spans="1:3" ht="15.75" customHeight="1" x14ac:dyDescent="0.15">
      <c r="A55" s="2">
        <v>5</v>
      </c>
      <c r="B55" s="15">
        <v>1093.1025</v>
      </c>
      <c r="C55" s="19">
        <v>43.991999999999997</v>
      </c>
    </row>
    <row r="56" spans="1:3" ht="15.75" customHeight="1" x14ac:dyDescent="0.15">
      <c r="A56" s="2">
        <v>7.5</v>
      </c>
      <c r="B56" s="19">
        <v>1462.3765000000001</v>
      </c>
      <c r="C56" s="19">
        <v>59.386000000000003</v>
      </c>
    </row>
    <row r="57" spans="1:3" ht="15.75" customHeight="1" x14ac:dyDescent="0.15">
      <c r="A57" s="2">
        <v>10</v>
      </c>
      <c r="B57" s="19">
        <v>1705.423</v>
      </c>
      <c r="C57" s="19">
        <v>69.516999999999996</v>
      </c>
    </row>
    <row r="58" spans="1:3" ht="15.75" customHeight="1" x14ac:dyDescent="0.15">
      <c r="A58" s="2">
        <v>15</v>
      </c>
      <c r="B58" s="19">
        <v>2132.0635000000002</v>
      </c>
      <c r="C58" s="19">
        <v>87.302000000000007</v>
      </c>
    </row>
    <row r="59" spans="1:3" ht="15.75" customHeight="1" x14ac:dyDescent="0.15">
      <c r="A59" s="2">
        <v>20</v>
      </c>
      <c r="B59" s="15">
        <v>2400.7961</v>
      </c>
      <c r="C59" s="19">
        <v>98.504000000000005</v>
      </c>
    </row>
    <row r="60" spans="1:3" ht="15.75" customHeight="1" x14ac:dyDescent="0.15">
      <c r="A60" s="2">
        <v>25</v>
      </c>
      <c r="B60" s="15">
        <v>2692.1460000000002</v>
      </c>
      <c r="C60" s="19">
        <v>110.649</v>
      </c>
    </row>
    <row r="61" spans="1:3" ht="15.75" customHeight="1" x14ac:dyDescent="0.15">
      <c r="A61" s="2">
        <v>30</v>
      </c>
      <c r="B61" s="15">
        <v>2954.2240999999999</v>
      </c>
      <c r="C61" s="19">
        <v>121.574</v>
      </c>
    </row>
    <row r="62" spans="1:3" ht="15.75" customHeight="1" x14ac:dyDescent="0.15">
      <c r="A62" s="2">
        <v>40</v>
      </c>
      <c r="B62" s="15">
        <v>3255.2537000000002</v>
      </c>
      <c r="C62" s="19">
        <v>134.12299999999999</v>
      </c>
    </row>
    <row r="63" spans="1:3" ht="15.75" customHeight="1" x14ac:dyDescent="0.15">
      <c r="A63" s="2">
        <v>50</v>
      </c>
      <c r="B63" s="15">
        <v>3507.8606</v>
      </c>
      <c r="C63" s="19">
        <v>144.65299999999999</v>
      </c>
    </row>
    <row r="64" spans="1:3" ht="15.75" customHeight="1" x14ac:dyDescent="0.15">
      <c r="A64" s="2">
        <v>60</v>
      </c>
      <c r="B64" s="15">
        <v>3649.0005000000001</v>
      </c>
      <c r="C64" s="19">
        <v>150.53700000000001</v>
      </c>
    </row>
    <row r="65" spans="1:41" ht="15.75" customHeight="1" x14ac:dyDescent="0.15">
      <c r="A65" s="2">
        <v>75</v>
      </c>
      <c r="B65" s="15">
        <v>3959.8791999999999</v>
      </c>
      <c r="C65" s="19">
        <v>163.49600000000001</v>
      </c>
    </row>
    <row r="66" spans="1:41" ht="15.75" customHeight="1" x14ac:dyDescent="0.15">
      <c r="A66" s="2">
        <v>90</v>
      </c>
      <c r="B66" s="15">
        <v>4105.3280999999997</v>
      </c>
      <c r="C66" s="19">
        <v>169.559</v>
      </c>
    </row>
    <row r="67" spans="1:41" ht="15.75" customHeight="1" x14ac:dyDescent="0.15">
      <c r="A67" s="2">
        <v>105</v>
      </c>
      <c r="B67" s="15">
        <v>4320.2974000000004</v>
      </c>
      <c r="C67" s="19">
        <v>178.52</v>
      </c>
    </row>
    <row r="68" spans="1:41" ht="15.75" customHeight="1" x14ac:dyDescent="0.15">
      <c r="A68" s="2">
        <v>120</v>
      </c>
      <c r="B68" s="15">
        <v>4396.4966000000004</v>
      </c>
      <c r="C68" s="19">
        <v>181.696</v>
      </c>
    </row>
    <row r="69" spans="1:41" ht="15.75" customHeight="1" x14ac:dyDescent="0.15">
      <c r="A69" s="2">
        <v>135</v>
      </c>
      <c r="B69" s="15">
        <v>4516.3833000000004</v>
      </c>
      <c r="C69" s="19">
        <v>186.69399999999999</v>
      </c>
    </row>
    <row r="70" spans="1:41" ht="15.75" customHeight="1" x14ac:dyDescent="0.15">
      <c r="A70" s="2">
        <v>150</v>
      </c>
      <c r="B70" s="15">
        <v>4622.2856000000002</v>
      </c>
      <c r="C70" s="19">
        <v>191.10900000000001</v>
      </c>
    </row>
    <row r="71" spans="1:41" ht="15.75" customHeight="1" x14ac:dyDescent="0.15">
      <c r="A71" s="2">
        <v>165</v>
      </c>
      <c r="B71" s="15">
        <v>4742.6768000000002</v>
      </c>
      <c r="C71" s="19">
        <v>196.12700000000001</v>
      </c>
    </row>
    <row r="72" spans="1:41" ht="15.75" customHeight="1" x14ac:dyDescent="0.15">
      <c r="A72" s="2">
        <v>180</v>
      </c>
      <c r="B72" s="15">
        <v>4811.4584999999997</v>
      </c>
      <c r="C72" s="19">
        <v>198.994</v>
      </c>
    </row>
    <row r="73" spans="1:41" ht="15.75" customHeight="1" x14ac:dyDescent="0.15">
      <c r="A73" s="2">
        <v>195</v>
      </c>
      <c r="B73" s="15">
        <v>4829.7749000000003</v>
      </c>
      <c r="C73" s="19">
        <v>199.75800000000001</v>
      </c>
    </row>
    <row r="74" spans="1:41" ht="15.75" customHeight="1" x14ac:dyDescent="0.15">
      <c r="A74" s="2">
        <v>210</v>
      </c>
      <c r="B74" s="15">
        <v>4875.8217999999997</v>
      </c>
      <c r="C74" s="19">
        <v>201.67699999999999</v>
      </c>
    </row>
    <row r="75" spans="1:41" ht="15.75" customHeight="1" x14ac:dyDescent="0.15">
      <c r="A75" s="2">
        <v>225</v>
      </c>
      <c r="B75" s="15">
        <v>4967.4780000000001</v>
      </c>
      <c r="C75" s="19">
        <v>205.49799999999999</v>
      </c>
    </row>
    <row r="76" spans="1:41" ht="15.75" customHeight="1" x14ac:dyDescent="0.15">
      <c r="A76" s="2">
        <v>240</v>
      </c>
      <c r="B76" s="15">
        <v>5150.6025</v>
      </c>
      <c r="C76" s="19">
        <v>213.13200000000001</v>
      </c>
    </row>
    <row r="78" spans="1:41" ht="15.75" customHeight="1" x14ac:dyDescent="0.15">
      <c r="A78" s="14" t="s">
        <v>87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</row>
    <row r="79" spans="1:41" ht="15.75" customHeight="1" x14ac:dyDescent="0.15">
      <c r="B79" s="2" t="s">
        <v>88</v>
      </c>
    </row>
    <row r="82" spans="1:10" ht="13" x14ac:dyDescent="0.15">
      <c r="B82" s="2" t="s">
        <v>89</v>
      </c>
      <c r="D82" s="2" t="s">
        <v>90</v>
      </c>
      <c r="G82" s="2" t="s">
        <v>91</v>
      </c>
    </row>
    <row r="83" spans="1:10" ht="13" x14ac:dyDescent="0.15">
      <c r="A83" s="4" t="s">
        <v>3</v>
      </c>
      <c r="B83" s="4" t="s">
        <v>82</v>
      </c>
      <c r="C83" s="4" t="s">
        <v>83</v>
      </c>
      <c r="D83" s="4" t="s">
        <v>82</v>
      </c>
      <c r="E83" s="4" t="s">
        <v>83</v>
      </c>
      <c r="F83" s="4" t="s">
        <v>82</v>
      </c>
      <c r="G83" s="4" t="s">
        <v>83</v>
      </c>
      <c r="H83" s="2" t="s">
        <v>92</v>
      </c>
      <c r="I83" s="2" t="s">
        <v>93</v>
      </c>
      <c r="J83" s="2" t="s">
        <v>94</v>
      </c>
    </row>
    <row r="84" spans="1:10" ht="13" x14ac:dyDescent="0.15">
      <c r="A84" s="2">
        <v>2.5</v>
      </c>
      <c r="B84" s="15">
        <v>591.63890000000004</v>
      </c>
      <c r="C84" s="19">
        <v>23.088000000000001</v>
      </c>
      <c r="D84" s="2">
        <v>804.23140000000001</v>
      </c>
      <c r="E84" s="2">
        <v>31.95</v>
      </c>
      <c r="F84" s="2">
        <v>864.76520000000005</v>
      </c>
      <c r="G84" s="2">
        <v>34.473999999999997</v>
      </c>
      <c r="H84" s="19">
        <f t="shared" ref="H84:H106" si="10">AVERAGE(C84,E84,G84)</f>
        <v>29.837333333333333</v>
      </c>
      <c r="I84" s="19">
        <f t="shared" ref="I84:I106" si="11">STDEV(G84,E84,C84)</f>
        <v>5.9797800405477517</v>
      </c>
      <c r="J84" s="10">
        <f t="shared" ref="J84:J106" si="12">I84/H84</f>
        <v>0.20041268345744989</v>
      </c>
    </row>
    <row r="85" spans="1:10" ht="13" x14ac:dyDescent="0.15">
      <c r="A85" s="2">
        <v>5</v>
      </c>
      <c r="B85" s="15">
        <v>800.16189999999995</v>
      </c>
      <c r="C85" s="19">
        <v>31.780999999999999</v>
      </c>
      <c r="D85" s="2">
        <v>1065.1902</v>
      </c>
      <c r="E85" s="2">
        <v>42.829000000000001</v>
      </c>
      <c r="F85" s="2">
        <v>1100.8424</v>
      </c>
      <c r="G85" s="2">
        <v>44.314999999999998</v>
      </c>
      <c r="H85" s="19">
        <f t="shared" si="10"/>
        <v>39.641666666666666</v>
      </c>
      <c r="I85" s="19">
        <f t="shared" si="11"/>
        <v>6.8479638823034792</v>
      </c>
      <c r="J85" s="10">
        <f t="shared" si="12"/>
        <v>0.17274661885146469</v>
      </c>
    </row>
    <row r="86" spans="1:10" ht="13" x14ac:dyDescent="0.15">
      <c r="A86" s="2">
        <v>7.5</v>
      </c>
      <c r="B86" s="19">
        <v>968.48580000000004</v>
      </c>
      <c r="C86" s="19">
        <v>38.796999999999997</v>
      </c>
      <c r="D86" s="2">
        <v>1316.8920000000001</v>
      </c>
      <c r="E86" s="2">
        <v>53.320999999999998</v>
      </c>
      <c r="F86" s="2">
        <v>1363.2192</v>
      </c>
      <c r="G86" s="2">
        <v>55.252000000000002</v>
      </c>
      <c r="H86" s="19">
        <f t="shared" si="10"/>
        <v>49.123333333333335</v>
      </c>
      <c r="I86" s="19">
        <f t="shared" si="11"/>
        <v>8.9948352032337429</v>
      </c>
      <c r="J86" s="10">
        <f t="shared" si="12"/>
        <v>0.1831071833460082</v>
      </c>
    </row>
    <row r="87" spans="1:10" ht="13" x14ac:dyDescent="0.15">
      <c r="A87" s="2">
        <v>10</v>
      </c>
      <c r="B87" s="19">
        <v>1135.1819</v>
      </c>
      <c r="C87" s="19">
        <v>45.746000000000002</v>
      </c>
      <c r="D87" s="2">
        <v>1496.7942</v>
      </c>
      <c r="E87" s="2">
        <v>60.82</v>
      </c>
      <c r="F87" s="2">
        <v>1548.6315</v>
      </c>
      <c r="G87" s="2">
        <v>62.981000000000002</v>
      </c>
      <c r="H87" s="19">
        <f t="shared" si="10"/>
        <v>56.515666666666668</v>
      </c>
      <c r="I87" s="19">
        <f t="shared" si="11"/>
        <v>9.3891836883370186</v>
      </c>
      <c r="J87" s="10">
        <f t="shared" si="12"/>
        <v>0.16613417556790186</v>
      </c>
    </row>
    <row r="88" spans="1:10" ht="13" x14ac:dyDescent="0.15">
      <c r="A88" s="2">
        <v>15</v>
      </c>
      <c r="B88" s="19">
        <v>1396.6287</v>
      </c>
      <c r="C88" s="19">
        <v>56.645000000000003</v>
      </c>
      <c r="D88" s="2">
        <v>1768.2097000000001</v>
      </c>
      <c r="E88" s="2">
        <v>72.134</v>
      </c>
      <c r="F88" s="2">
        <v>1839.5847000000001</v>
      </c>
      <c r="G88" s="2">
        <v>75.11</v>
      </c>
      <c r="H88" s="19">
        <f t="shared" si="10"/>
        <v>67.963000000000008</v>
      </c>
      <c r="I88" s="19">
        <f t="shared" si="11"/>
        <v>9.9139793725829133</v>
      </c>
      <c r="J88" s="10">
        <f t="shared" si="12"/>
        <v>0.1458731864776851</v>
      </c>
    </row>
    <row r="89" spans="1:10" ht="13" x14ac:dyDescent="0.15">
      <c r="A89" s="2">
        <v>20</v>
      </c>
      <c r="B89" s="15">
        <v>1564.3813</v>
      </c>
      <c r="C89" s="19">
        <v>63.637999999999998</v>
      </c>
      <c r="D89" s="2">
        <v>2026.2439999999999</v>
      </c>
      <c r="E89" s="2">
        <v>82.891000000000005</v>
      </c>
      <c r="F89" s="2">
        <v>2107.748</v>
      </c>
      <c r="G89" s="2">
        <v>86.287999999999997</v>
      </c>
      <c r="H89" s="19">
        <f t="shared" si="10"/>
        <v>77.605666666666664</v>
      </c>
      <c r="I89" s="19">
        <f t="shared" si="11"/>
        <v>12.215018883871322</v>
      </c>
      <c r="J89" s="10">
        <f t="shared" si="12"/>
        <v>0.1573985432834113</v>
      </c>
    </row>
    <row r="90" spans="1:10" ht="13" x14ac:dyDescent="0.15">
      <c r="A90" s="2">
        <v>25</v>
      </c>
      <c r="B90" s="15">
        <v>1813.723</v>
      </c>
      <c r="C90" s="19">
        <v>74.031999999999996</v>
      </c>
      <c r="D90" s="2">
        <v>2222.0194999999999</v>
      </c>
      <c r="E90" s="2">
        <v>91.052000000000007</v>
      </c>
      <c r="F90" s="2">
        <v>2350.0173</v>
      </c>
      <c r="G90" s="2">
        <v>96.387</v>
      </c>
      <c r="H90" s="19">
        <f t="shared" si="10"/>
        <v>87.156999999999996</v>
      </c>
      <c r="I90" s="19">
        <f t="shared" si="11"/>
        <v>11.675391856378909</v>
      </c>
      <c r="J90" s="10">
        <f t="shared" si="12"/>
        <v>0.1339581657971122</v>
      </c>
    </row>
    <row r="91" spans="1:10" ht="13" x14ac:dyDescent="0.15">
      <c r="A91" s="2">
        <v>30</v>
      </c>
      <c r="B91" s="15">
        <v>1907.5496000000001</v>
      </c>
      <c r="C91" s="19">
        <v>77.942999999999998</v>
      </c>
      <c r="D91" s="2">
        <v>2384.3004999999998</v>
      </c>
      <c r="E91" s="2">
        <v>97.816999999999993</v>
      </c>
      <c r="F91" s="2">
        <v>2537.8013000000001</v>
      </c>
      <c r="G91" s="2">
        <v>104.215</v>
      </c>
      <c r="H91" s="19">
        <f t="shared" si="10"/>
        <v>93.325000000000003</v>
      </c>
      <c r="I91" s="19">
        <f t="shared" si="11"/>
        <v>13.69992861295278</v>
      </c>
      <c r="J91" s="10">
        <f t="shared" si="12"/>
        <v>0.14679805639381494</v>
      </c>
    </row>
    <row r="92" spans="1:10" ht="13" x14ac:dyDescent="0.15">
      <c r="A92" s="2">
        <v>40</v>
      </c>
      <c r="B92" s="15">
        <v>1994.7380000000001</v>
      </c>
      <c r="C92" s="19">
        <v>81.576999999999998</v>
      </c>
      <c r="D92" s="2">
        <v>2664.0652</v>
      </c>
      <c r="E92" s="2">
        <v>109.479</v>
      </c>
      <c r="F92" s="2">
        <v>2781.8806</v>
      </c>
      <c r="G92" s="2">
        <v>114.39</v>
      </c>
      <c r="H92" s="19">
        <f t="shared" si="10"/>
        <v>101.81533333333333</v>
      </c>
      <c r="I92" s="19">
        <f t="shared" si="11"/>
        <v>17.69808131785274</v>
      </c>
      <c r="J92" s="10">
        <f t="shared" si="12"/>
        <v>0.17382530448445296</v>
      </c>
    </row>
    <row r="93" spans="1:10" ht="13" x14ac:dyDescent="0.15">
      <c r="A93" s="2">
        <v>50</v>
      </c>
      <c r="B93" s="15">
        <v>2198.3755000000001</v>
      </c>
      <c r="C93" s="19">
        <v>90.066000000000003</v>
      </c>
      <c r="D93" s="2">
        <v>2897.0610000000001</v>
      </c>
      <c r="E93" s="2">
        <v>119.191</v>
      </c>
      <c r="F93" s="2">
        <v>3074.1374999999998</v>
      </c>
      <c r="G93" s="2">
        <v>126.57299999999999</v>
      </c>
      <c r="H93" s="19">
        <f t="shared" si="10"/>
        <v>111.94333333333333</v>
      </c>
      <c r="I93" s="19">
        <f t="shared" si="11"/>
        <v>19.302506737036257</v>
      </c>
      <c r="J93" s="10">
        <f t="shared" si="12"/>
        <v>0.172431052053446</v>
      </c>
    </row>
    <row r="94" spans="1:10" ht="13" x14ac:dyDescent="0.15">
      <c r="A94" s="2">
        <v>60</v>
      </c>
      <c r="B94" s="15">
        <v>2375.248</v>
      </c>
      <c r="C94" s="19">
        <v>97.438999999999993</v>
      </c>
      <c r="D94" s="2">
        <v>381.73169999999999</v>
      </c>
      <c r="E94" s="2">
        <v>127.517</v>
      </c>
      <c r="F94" s="2">
        <v>3277.2471</v>
      </c>
      <c r="G94" s="2">
        <v>135.04</v>
      </c>
      <c r="H94" s="19">
        <f t="shared" si="10"/>
        <v>119.99866666666667</v>
      </c>
      <c r="I94" s="19">
        <f t="shared" si="11"/>
        <v>19.896049917843861</v>
      </c>
      <c r="J94" s="10">
        <f t="shared" si="12"/>
        <v>0.16580225822934583</v>
      </c>
    </row>
    <row r="95" spans="1:10" ht="13" x14ac:dyDescent="0.15">
      <c r="A95" s="2">
        <v>75</v>
      </c>
      <c r="B95" s="15">
        <v>2413.9951000000001</v>
      </c>
      <c r="C95" s="19">
        <v>99.054000000000002</v>
      </c>
      <c r="D95" s="2">
        <v>3342.4787999999999</v>
      </c>
      <c r="E95" s="2">
        <v>137.75899999999999</v>
      </c>
      <c r="F95" s="2">
        <v>3500.7179999999998</v>
      </c>
      <c r="G95" s="2">
        <v>144.35499999999999</v>
      </c>
      <c r="H95" s="19">
        <f t="shared" si="10"/>
        <v>127.056</v>
      </c>
      <c r="I95" s="19">
        <f t="shared" si="11"/>
        <v>24.473675796659403</v>
      </c>
      <c r="J95" s="10">
        <f t="shared" si="12"/>
        <v>0.19262117331459674</v>
      </c>
    </row>
    <row r="96" spans="1:10" ht="13" x14ac:dyDescent="0.15">
      <c r="A96" s="2">
        <v>90</v>
      </c>
      <c r="B96" s="15">
        <v>2742.0608000000002</v>
      </c>
      <c r="C96" s="19">
        <v>112.73</v>
      </c>
      <c r="D96" s="2">
        <v>3510.8384000000001</v>
      </c>
      <c r="E96" s="2">
        <v>144.77699999999999</v>
      </c>
      <c r="F96" s="2">
        <v>3684.9807000000001</v>
      </c>
      <c r="G96" s="2">
        <v>152.036</v>
      </c>
      <c r="H96" s="19">
        <f t="shared" si="10"/>
        <v>136.51433333333333</v>
      </c>
      <c r="I96" s="19">
        <f t="shared" si="11"/>
        <v>20.915165653977837</v>
      </c>
      <c r="J96" s="10">
        <f t="shared" si="12"/>
        <v>0.1532085689706173</v>
      </c>
    </row>
    <row r="97" spans="1:28" ht="13" x14ac:dyDescent="0.15">
      <c r="A97" s="2">
        <v>105</v>
      </c>
      <c r="B97" s="15">
        <v>3062.2055999999998</v>
      </c>
      <c r="C97" s="19">
        <v>126.07599999999999</v>
      </c>
      <c r="D97" s="2">
        <v>3667.7514999999999</v>
      </c>
      <c r="E97" s="2">
        <v>151.31800000000001</v>
      </c>
      <c r="F97" s="2">
        <v>3826.5419999999999</v>
      </c>
      <c r="G97" s="2">
        <v>157.93700000000001</v>
      </c>
      <c r="H97" s="19">
        <f t="shared" si="10"/>
        <v>145.11033333333333</v>
      </c>
      <c r="I97" s="19">
        <f t="shared" si="11"/>
        <v>16.813154800135926</v>
      </c>
      <c r="J97" s="10">
        <f t="shared" si="12"/>
        <v>0.11586462806555881</v>
      </c>
    </row>
    <row r="98" spans="1:28" ht="13" x14ac:dyDescent="0.15">
      <c r="A98" s="2">
        <v>120</v>
      </c>
      <c r="B98" s="15">
        <v>3158.855</v>
      </c>
      <c r="C98" s="19">
        <v>130.10400000000001</v>
      </c>
      <c r="D98" s="2">
        <v>3783.7988</v>
      </c>
      <c r="E98" s="2">
        <v>156.15600000000001</v>
      </c>
      <c r="F98" s="2">
        <v>3960.9209000000001</v>
      </c>
      <c r="G98" s="2">
        <v>163.53899999999999</v>
      </c>
      <c r="H98" s="19">
        <f t="shared" si="10"/>
        <v>149.93299999999999</v>
      </c>
      <c r="I98" s="19">
        <f t="shared" si="11"/>
        <v>17.564711867833175</v>
      </c>
      <c r="J98" s="10">
        <f t="shared" si="12"/>
        <v>0.11715040630036867</v>
      </c>
    </row>
    <row r="99" spans="1:28" ht="13" x14ac:dyDescent="0.15">
      <c r="A99" s="2">
        <v>135</v>
      </c>
      <c r="B99" s="15">
        <v>3203.3256999999999</v>
      </c>
      <c r="C99" s="19">
        <v>131.958</v>
      </c>
      <c r="D99" s="2">
        <v>3889.9465</v>
      </c>
      <c r="E99" s="2">
        <v>160.58099999999999</v>
      </c>
      <c r="F99" s="2">
        <v>4051.1794</v>
      </c>
      <c r="G99" s="2">
        <v>167.30199999999999</v>
      </c>
      <c r="H99" s="19">
        <f t="shared" si="10"/>
        <v>153.28033333333335</v>
      </c>
      <c r="I99" s="19">
        <f t="shared" si="11"/>
        <v>18.768973981902505</v>
      </c>
      <c r="J99" s="10">
        <f t="shared" si="12"/>
        <v>0.1224486767071825</v>
      </c>
    </row>
    <row r="100" spans="1:28" ht="13" x14ac:dyDescent="0.15">
      <c r="A100" s="2">
        <v>150</v>
      </c>
      <c r="B100" s="15">
        <v>3324.6588999999999</v>
      </c>
      <c r="C100" s="19">
        <v>137.01599999999999</v>
      </c>
      <c r="D100" s="2">
        <v>3961.5796</v>
      </c>
      <c r="E100" s="2">
        <v>163.56700000000001</v>
      </c>
      <c r="F100" s="2">
        <v>4152.9492</v>
      </c>
      <c r="G100" s="2">
        <v>171.54400000000001</v>
      </c>
      <c r="H100" s="19">
        <f t="shared" si="10"/>
        <v>157.37566666666666</v>
      </c>
      <c r="I100" s="19">
        <f t="shared" si="11"/>
        <v>18.077476381766722</v>
      </c>
      <c r="J100" s="10">
        <f t="shared" si="12"/>
        <v>0.11486830692864455</v>
      </c>
    </row>
    <row r="101" spans="1:28" ht="13" x14ac:dyDescent="0.15">
      <c r="A101" s="2">
        <v>165</v>
      </c>
      <c r="B101" s="15">
        <v>3351.8503000000001</v>
      </c>
      <c r="C101" s="19">
        <v>138.15</v>
      </c>
      <c r="D101" s="2">
        <v>4061.2458000000001</v>
      </c>
      <c r="E101" s="2">
        <v>167.721</v>
      </c>
      <c r="F101" s="2">
        <v>4290.9858000000004</v>
      </c>
      <c r="G101" s="2">
        <v>177.298</v>
      </c>
      <c r="H101" s="19">
        <f t="shared" si="10"/>
        <v>161.05633333333333</v>
      </c>
      <c r="I101" s="19">
        <f t="shared" si="11"/>
        <v>20.40722451322906</v>
      </c>
      <c r="J101" s="10">
        <f t="shared" si="12"/>
        <v>0.12670861238963424</v>
      </c>
    </row>
    <row r="102" spans="1:28" ht="13" x14ac:dyDescent="0.15">
      <c r="A102" s="2">
        <v>180</v>
      </c>
      <c r="B102" s="15">
        <v>3502.8960000000002</v>
      </c>
      <c r="C102" s="19">
        <v>144.446</v>
      </c>
      <c r="D102" s="2">
        <v>4150.3091000000004</v>
      </c>
      <c r="E102" s="2">
        <v>171.434</v>
      </c>
      <c r="F102" s="2">
        <v>4358.3729999999996</v>
      </c>
      <c r="G102" s="2">
        <v>180.107</v>
      </c>
      <c r="H102" s="19">
        <f t="shared" si="10"/>
        <v>165.32899999999998</v>
      </c>
      <c r="I102" s="19">
        <f t="shared" si="11"/>
        <v>18.597849311143481</v>
      </c>
      <c r="J102" s="10">
        <f t="shared" si="12"/>
        <v>0.11248994012631471</v>
      </c>
    </row>
    <row r="103" spans="1:28" ht="13" x14ac:dyDescent="0.15">
      <c r="A103" s="2">
        <v>195</v>
      </c>
      <c r="B103" s="15">
        <v>3607.2008999999998</v>
      </c>
      <c r="C103" s="19">
        <v>148.79400000000001</v>
      </c>
      <c r="D103" s="2">
        <v>4215.6283999999996</v>
      </c>
      <c r="E103" s="2">
        <v>174.15700000000001</v>
      </c>
      <c r="F103" s="2">
        <v>4427.9750999999997</v>
      </c>
      <c r="G103" s="2">
        <v>183.00899999999999</v>
      </c>
      <c r="H103" s="19">
        <f t="shared" si="10"/>
        <v>168.65333333333334</v>
      </c>
      <c r="I103" s="19">
        <f t="shared" si="11"/>
        <v>17.759062935113803</v>
      </c>
      <c r="J103" s="10">
        <f t="shared" si="12"/>
        <v>0.10529921101537949</v>
      </c>
    </row>
    <row r="104" spans="1:28" ht="13" x14ac:dyDescent="0.15">
      <c r="A104" s="2">
        <v>210</v>
      </c>
      <c r="B104" s="15">
        <v>3707.7246</v>
      </c>
      <c r="C104" s="19">
        <v>152.98400000000001</v>
      </c>
      <c r="D104" s="2">
        <v>4279.3720999999996</v>
      </c>
      <c r="E104" s="2">
        <v>176.81399999999999</v>
      </c>
      <c r="F104" s="2">
        <v>4504.5785999999998</v>
      </c>
      <c r="G104" s="2">
        <v>186.202</v>
      </c>
      <c r="H104" s="19">
        <f t="shared" si="10"/>
        <v>172</v>
      </c>
      <c r="I104" s="19">
        <f t="shared" si="11"/>
        <v>17.124246786355297</v>
      </c>
      <c r="J104" s="10">
        <f t="shared" si="12"/>
        <v>9.9559574339274981E-2</v>
      </c>
    </row>
    <row r="105" spans="1:28" ht="13" x14ac:dyDescent="0.15">
      <c r="A105" s="2">
        <v>225</v>
      </c>
      <c r="B105" s="15">
        <v>3754.8872000000001</v>
      </c>
      <c r="C105" s="19">
        <v>154.94999999999999</v>
      </c>
      <c r="D105" s="2">
        <v>4355.2520000000004</v>
      </c>
      <c r="E105" s="2">
        <v>179.977</v>
      </c>
      <c r="F105" s="2">
        <v>4495.6454999999996</v>
      </c>
      <c r="G105" s="2">
        <v>185.83</v>
      </c>
      <c r="H105" s="19">
        <f t="shared" si="10"/>
        <v>173.5856666666667</v>
      </c>
      <c r="I105" s="19">
        <f t="shared" si="11"/>
        <v>16.402147918285998</v>
      </c>
      <c r="J105" s="10">
        <f t="shared" si="12"/>
        <v>9.4490220496043234E-2</v>
      </c>
    </row>
    <row r="106" spans="1:28" ht="13" x14ac:dyDescent="0.15">
      <c r="A106" s="2">
        <v>240</v>
      </c>
      <c r="B106" s="15">
        <v>3817.9335999999998</v>
      </c>
      <c r="C106" s="19">
        <v>157.57900000000001</v>
      </c>
      <c r="D106" s="2">
        <v>4359.9912000000004</v>
      </c>
      <c r="E106" s="2">
        <v>180.17500000000001</v>
      </c>
      <c r="F106" s="2">
        <v>4602.2548999999999</v>
      </c>
      <c r="G106" s="2">
        <v>190.274</v>
      </c>
      <c r="H106" s="19">
        <f t="shared" si="10"/>
        <v>176.00933333333333</v>
      </c>
      <c r="I106" s="19">
        <f t="shared" si="11"/>
        <v>16.740828543812675</v>
      </c>
      <c r="J106" s="10">
        <f t="shared" si="12"/>
        <v>9.5113300111808519E-2</v>
      </c>
    </row>
    <row r="108" spans="1:28" ht="13" x14ac:dyDescent="0.15">
      <c r="A108" s="9" t="s">
        <v>95</v>
      </c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</row>
    <row r="109" spans="1:28" ht="13" x14ac:dyDescent="0.15">
      <c r="A109" s="2" t="s">
        <v>96</v>
      </c>
    </row>
    <row r="110" spans="1:28" ht="13" x14ac:dyDescent="0.15">
      <c r="A110" s="2" t="s">
        <v>97</v>
      </c>
    </row>
    <row r="111" spans="1:28" ht="13" x14ac:dyDescent="0.15">
      <c r="A111" s="2" t="s">
        <v>98</v>
      </c>
    </row>
    <row r="112" spans="1:28" ht="13" x14ac:dyDescent="0.15">
      <c r="A112" s="4" t="s">
        <v>3</v>
      </c>
      <c r="B112" s="4" t="s">
        <v>82</v>
      </c>
      <c r="C112" s="4" t="s">
        <v>83</v>
      </c>
      <c r="D112" s="4" t="s">
        <v>82</v>
      </c>
      <c r="E112" s="4" t="s">
        <v>83</v>
      </c>
      <c r="F112" s="4" t="s">
        <v>82</v>
      </c>
      <c r="G112" s="4" t="s">
        <v>83</v>
      </c>
      <c r="H112" s="2" t="s">
        <v>92</v>
      </c>
      <c r="I112" s="2" t="s">
        <v>93</v>
      </c>
      <c r="J112" s="2" t="s">
        <v>94</v>
      </c>
    </row>
    <row r="113" spans="1:10" ht="13" x14ac:dyDescent="0.15">
      <c r="A113" s="2">
        <v>2.5</v>
      </c>
      <c r="B113" s="2">
        <v>137.99809999999999</v>
      </c>
      <c r="C113" s="2">
        <v>4.6689999999999996</v>
      </c>
      <c r="D113" s="2">
        <v>127.50409999999999</v>
      </c>
      <c r="E113" s="2">
        <v>4.2439999999999998</v>
      </c>
      <c r="F113" s="2">
        <v>172.38249999999999</v>
      </c>
      <c r="G113" s="2">
        <v>6.0620000000000003</v>
      </c>
      <c r="H113" s="2">
        <f t="shared" ref="H113:H135" si="13">AVERAGE(C113,E113,G113)</f>
        <v>4.9916666666666671</v>
      </c>
      <c r="I113" s="19">
        <f t="shared" ref="I113:I135" si="14">STDEV(G113,E113,C113)</f>
        <v>0.9509817733970134</v>
      </c>
      <c r="J113" s="10">
        <f t="shared" ref="J113:J135" si="15">I113/H113</f>
        <v>0.19051387780908446</v>
      </c>
    </row>
    <row r="114" spans="1:10" ht="13" x14ac:dyDescent="0.15">
      <c r="A114" s="2">
        <v>5</v>
      </c>
      <c r="B114" s="2">
        <v>252.13550000000001</v>
      </c>
      <c r="C114" s="2">
        <v>9.2919999999999998</v>
      </c>
      <c r="D114" s="2">
        <v>189.74590000000001</v>
      </c>
      <c r="E114" s="2">
        <v>6.7649999999999997</v>
      </c>
      <c r="F114" s="2">
        <v>156.614</v>
      </c>
      <c r="G114" s="2">
        <v>5.423</v>
      </c>
      <c r="H114" s="2">
        <f t="shared" si="13"/>
        <v>7.1599999999999993</v>
      </c>
      <c r="I114" s="19">
        <f t="shared" si="14"/>
        <v>1.964512407698157</v>
      </c>
      <c r="J114" s="10">
        <f t="shared" si="15"/>
        <v>0.27437324129862534</v>
      </c>
    </row>
    <row r="115" spans="1:10" ht="13" x14ac:dyDescent="0.15">
      <c r="A115" s="2">
        <v>7.5</v>
      </c>
      <c r="B115" s="2">
        <v>331.42230000000001</v>
      </c>
      <c r="C115" s="2">
        <v>12.503</v>
      </c>
      <c r="D115" s="2">
        <v>240.06290000000001</v>
      </c>
      <c r="E115" s="2">
        <v>8.8030000000000008</v>
      </c>
      <c r="F115" s="2">
        <v>259.09230000000002</v>
      </c>
      <c r="G115" s="2">
        <v>9.5739999999999998</v>
      </c>
      <c r="H115" s="2">
        <f t="shared" si="13"/>
        <v>10.293333333333335</v>
      </c>
      <c r="I115" s="19">
        <f t="shared" si="14"/>
        <v>1.9520707808205346</v>
      </c>
      <c r="J115" s="10">
        <f t="shared" si="15"/>
        <v>0.18964418207453379</v>
      </c>
    </row>
    <row r="116" spans="1:10" ht="13" x14ac:dyDescent="0.15">
      <c r="A116" s="2">
        <v>10</v>
      </c>
      <c r="B116" s="2">
        <v>383.12020000000001</v>
      </c>
      <c r="C116" s="2">
        <v>14.597</v>
      </c>
      <c r="D116" s="2">
        <v>324.9522</v>
      </c>
      <c r="E116" s="2">
        <v>12.241</v>
      </c>
      <c r="F116" s="2">
        <v>318.26159999999999</v>
      </c>
      <c r="G116" s="2">
        <v>11.97</v>
      </c>
      <c r="H116" s="2">
        <f t="shared" si="13"/>
        <v>12.936</v>
      </c>
      <c r="I116" s="19">
        <f t="shared" si="14"/>
        <v>1.444835976849967</v>
      </c>
      <c r="J116" s="10">
        <f t="shared" si="15"/>
        <v>0.11169109283008403</v>
      </c>
    </row>
    <row r="117" spans="1:10" ht="13" x14ac:dyDescent="0.15">
      <c r="A117" s="2">
        <v>15</v>
      </c>
      <c r="B117" s="2">
        <v>510.44240000000002</v>
      </c>
      <c r="C117" s="2">
        <v>19.754000000000001</v>
      </c>
      <c r="D117" s="2">
        <v>478.79719999999998</v>
      </c>
      <c r="E117" s="2">
        <v>18.472000000000001</v>
      </c>
      <c r="F117" s="2">
        <v>428.32569999999998</v>
      </c>
      <c r="G117" s="2">
        <v>16.428000000000001</v>
      </c>
      <c r="H117" s="2">
        <f t="shared" si="13"/>
        <v>18.218</v>
      </c>
      <c r="I117" s="19">
        <f t="shared" si="14"/>
        <v>1.6774850222878299</v>
      </c>
      <c r="J117" s="10">
        <f t="shared" si="15"/>
        <v>9.2078440129972003E-2</v>
      </c>
    </row>
    <row r="118" spans="1:10" ht="13" x14ac:dyDescent="0.15">
      <c r="A118" s="2">
        <v>20</v>
      </c>
      <c r="B118" s="2">
        <v>617.24710000000005</v>
      </c>
      <c r="C118" s="2">
        <v>24.08</v>
      </c>
      <c r="D118" s="2">
        <v>643.54660000000001</v>
      </c>
      <c r="E118" s="2">
        <v>25.145</v>
      </c>
      <c r="F118" s="2">
        <v>511.76799999999997</v>
      </c>
      <c r="G118" s="2">
        <v>19.806999999999999</v>
      </c>
      <c r="H118" s="2">
        <f t="shared" si="13"/>
        <v>23.010666666666665</v>
      </c>
      <c r="I118" s="19">
        <f t="shared" si="14"/>
        <v>2.8250958095847536</v>
      </c>
      <c r="J118" s="10">
        <f t="shared" si="15"/>
        <v>0.12277331424200749</v>
      </c>
    </row>
    <row r="119" spans="1:10" ht="13" x14ac:dyDescent="0.15">
      <c r="A119" s="2">
        <v>25</v>
      </c>
      <c r="B119" s="2">
        <v>747.25509999999997</v>
      </c>
      <c r="C119" s="2">
        <v>29.344999999999999</v>
      </c>
      <c r="D119" s="2">
        <v>790.56489999999997</v>
      </c>
      <c r="E119" s="2">
        <v>31.099</v>
      </c>
      <c r="F119" s="2">
        <v>584.33609999999999</v>
      </c>
      <c r="G119" s="2">
        <v>22.747</v>
      </c>
      <c r="H119" s="2">
        <f t="shared" si="13"/>
        <v>27.730333333333334</v>
      </c>
      <c r="I119" s="19">
        <f t="shared" si="14"/>
        <v>4.4039002410741999</v>
      </c>
      <c r="J119" s="10">
        <f t="shared" si="15"/>
        <v>0.15881165899222993</v>
      </c>
    </row>
    <row r="120" spans="1:10" ht="13" x14ac:dyDescent="0.15">
      <c r="A120" s="2">
        <v>30</v>
      </c>
      <c r="B120" s="2">
        <v>851.25440000000003</v>
      </c>
      <c r="C120" s="2">
        <v>33.557000000000002</v>
      </c>
      <c r="D120" s="2">
        <v>955.51779999999997</v>
      </c>
      <c r="E120" s="2">
        <v>37.78</v>
      </c>
      <c r="F120" s="2">
        <v>645.63589999999999</v>
      </c>
      <c r="G120" s="2">
        <v>25.228999999999999</v>
      </c>
      <c r="H120" s="2">
        <f t="shared" si="13"/>
        <v>32.18866666666667</v>
      </c>
      <c r="I120" s="19">
        <f t="shared" si="14"/>
        <v>6.3864037089220345</v>
      </c>
      <c r="J120" s="10">
        <f t="shared" si="15"/>
        <v>0.19840535102174783</v>
      </c>
    </row>
    <row r="121" spans="1:10" ht="13" x14ac:dyDescent="0.15">
      <c r="A121" s="2">
        <v>40</v>
      </c>
      <c r="B121" s="2">
        <v>1092.3765000000001</v>
      </c>
      <c r="C121" s="2">
        <v>43.323</v>
      </c>
      <c r="D121" s="2">
        <v>1177.4015999999999</v>
      </c>
      <c r="E121" s="2">
        <v>46.767000000000003</v>
      </c>
      <c r="F121" s="2">
        <v>790.98249999999996</v>
      </c>
      <c r="G121" s="2">
        <v>31.116</v>
      </c>
      <c r="H121" s="2">
        <f t="shared" si="13"/>
        <v>40.402000000000001</v>
      </c>
      <c r="I121" s="19">
        <f t="shared" si="14"/>
        <v>8.2242100532512907</v>
      </c>
      <c r="J121" s="10">
        <f t="shared" si="15"/>
        <v>0.20355947857163731</v>
      </c>
    </row>
    <row r="122" spans="1:10" ht="13" x14ac:dyDescent="0.15">
      <c r="A122" s="2">
        <v>50</v>
      </c>
      <c r="B122" s="2">
        <v>1289.5048999999999</v>
      </c>
      <c r="C122" s="2">
        <v>51.307000000000002</v>
      </c>
      <c r="D122" s="2">
        <v>1483.5092999999999</v>
      </c>
      <c r="E122" s="2">
        <v>59.164000000000001</v>
      </c>
      <c r="F122" s="2">
        <v>907.54629999999997</v>
      </c>
      <c r="G122" s="2">
        <v>35.837000000000003</v>
      </c>
      <c r="H122" s="2">
        <f t="shared" si="13"/>
        <v>48.769333333333329</v>
      </c>
      <c r="I122" s="19">
        <f t="shared" si="14"/>
        <v>11.868742407405016</v>
      </c>
      <c r="J122" s="10">
        <f t="shared" si="15"/>
        <v>0.24336486878513172</v>
      </c>
    </row>
    <row r="123" spans="1:10" ht="13" x14ac:dyDescent="0.15">
      <c r="A123" s="2">
        <v>60</v>
      </c>
      <c r="B123" s="2">
        <v>1462.7317</v>
      </c>
      <c r="C123" s="2">
        <v>58.323</v>
      </c>
      <c r="D123" s="2">
        <v>1676.2814000000001</v>
      </c>
      <c r="E123" s="2">
        <v>66.971999999999994</v>
      </c>
      <c r="F123" s="2">
        <v>1028.9347</v>
      </c>
      <c r="G123" s="2">
        <v>40.753999999999998</v>
      </c>
      <c r="H123" s="2">
        <f t="shared" si="13"/>
        <v>55.349666666666657</v>
      </c>
      <c r="I123" s="19">
        <f t="shared" si="14"/>
        <v>13.359506515337021</v>
      </c>
      <c r="J123" s="10">
        <f t="shared" si="15"/>
        <v>0.24136561825732808</v>
      </c>
    </row>
    <row r="124" spans="1:10" ht="13" x14ac:dyDescent="0.15">
      <c r="A124" s="2">
        <v>75</v>
      </c>
      <c r="B124" s="2">
        <v>1821.4033999999999</v>
      </c>
      <c r="C124" s="2">
        <v>72.849999999999994</v>
      </c>
      <c r="D124" s="2">
        <v>1981.5697</v>
      </c>
      <c r="E124" s="2">
        <v>79.337000000000003</v>
      </c>
      <c r="F124" s="2">
        <v>1203.1936000000001</v>
      </c>
      <c r="G124" s="2">
        <v>47.811</v>
      </c>
      <c r="H124" s="2">
        <f t="shared" si="13"/>
        <v>66.666000000000011</v>
      </c>
      <c r="I124" s="19">
        <f t="shared" si="14"/>
        <v>16.647929631038213</v>
      </c>
      <c r="J124" s="10">
        <f t="shared" si="15"/>
        <v>0.24972144167998997</v>
      </c>
    </row>
    <row r="125" spans="1:10" ht="13" x14ac:dyDescent="0.15">
      <c r="A125" s="2">
        <v>90</v>
      </c>
      <c r="B125" s="2">
        <v>2135.8879000000002</v>
      </c>
      <c r="C125" s="2">
        <v>85.587000000000003</v>
      </c>
      <c r="D125" s="2">
        <v>2235.7485000000001</v>
      </c>
      <c r="E125" s="2">
        <v>89.631</v>
      </c>
      <c r="F125" s="2">
        <v>1368.9623999999999</v>
      </c>
      <c r="G125" s="2">
        <v>54.524999999999999</v>
      </c>
      <c r="H125" s="2">
        <f t="shared" si="13"/>
        <v>76.581000000000003</v>
      </c>
      <c r="I125" s="19">
        <f t="shared" si="14"/>
        <v>19.207780610992025</v>
      </c>
      <c r="J125" s="10">
        <f t="shared" si="15"/>
        <v>0.25081652904757085</v>
      </c>
    </row>
    <row r="126" spans="1:10" ht="13" x14ac:dyDescent="0.15">
      <c r="A126" s="2">
        <v>105</v>
      </c>
      <c r="B126" s="2">
        <v>2418.2898</v>
      </c>
      <c r="C126" s="2">
        <v>97.024000000000001</v>
      </c>
      <c r="D126" s="2">
        <v>2496.3690999999999</v>
      </c>
      <c r="E126" s="2">
        <v>100.187</v>
      </c>
      <c r="F126" s="2">
        <v>1562.9238</v>
      </c>
      <c r="G126" s="2">
        <v>62.381</v>
      </c>
      <c r="H126" s="2">
        <f t="shared" si="13"/>
        <v>86.530666666666662</v>
      </c>
      <c r="I126" s="19">
        <f t="shared" si="14"/>
        <v>20.973934831913073</v>
      </c>
      <c r="J126" s="10">
        <f t="shared" si="15"/>
        <v>0.24238730198056652</v>
      </c>
    </row>
    <row r="127" spans="1:10" ht="13" x14ac:dyDescent="0.15">
      <c r="A127" s="2">
        <v>120</v>
      </c>
      <c r="B127" s="2">
        <v>2663.8281000000002</v>
      </c>
      <c r="C127" s="2">
        <v>106.96899999999999</v>
      </c>
      <c r="D127" s="2">
        <v>2691.8584000000001</v>
      </c>
      <c r="E127" s="2">
        <v>108.104</v>
      </c>
      <c r="F127" s="2">
        <v>1724.6078</v>
      </c>
      <c r="G127" s="2">
        <v>68.929000000000002</v>
      </c>
      <c r="H127" s="2">
        <f t="shared" si="13"/>
        <v>94.667333333333318</v>
      </c>
      <c r="I127" s="19">
        <f t="shared" si="14"/>
        <v>22.297273562777381</v>
      </c>
      <c r="J127" s="10">
        <f t="shared" si="15"/>
        <v>0.23553292120594979</v>
      </c>
    </row>
    <row r="128" spans="1:10" ht="13" x14ac:dyDescent="0.15">
      <c r="A128" s="2">
        <v>135</v>
      </c>
      <c r="B128" s="2">
        <v>2760.6210999999998</v>
      </c>
      <c r="C128" s="2">
        <v>110.889</v>
      </c>
      <c r="D128" s="2">
        <v>2947.4477999999999</v>
      </c>
      <c r="E128" s="2">
        <v>118.456</v>
      </c>
      <c r="F128" s="2">
        <v>1881.7103999999999</v>
      </c>
      <c r="G128" s="2">
        <v>75.292000000000002</v>
      </c>
      <c r="H128" s="2">
        <f t="shared" si="13"/>
        <v>101.54566666666666</v>
      </c>
      <c r="I128" s="19">
        <f t="shared" si="14"/>
        <v>23.048994171836046</v>
      </c>
      <c r="J128" s="10">
        <f t="shared" si="15"/>
        <v>0.22698156335411701</v>
      </c>
    </row>
    <row r="129" spans="1:26" ht="13" x14ac:dyDescent="0.15">
      <c r="A129" s="2">
        <v>150</v>
      </c>
      <c r="B129" s="2">
        <v>3134.8420000000001</v>
      </c>
      <c r="C129" s="2">
        <v>126.04600000000001</v>
      </c>
      <c r="D129" s="2">
        <v>3130.3054000000002</v>
      </c>
      <c r="E129" s="2">
        <v>125.86199999999999</v>
      </c>
      <c r="F129" s="2">
        <v>2081.6172000000001</v>
      </c>
      <c r="G129" s="2">
        <v>83.388999999999996</v>
      </c>
      <c r="H129" s="2">
        <f t="shared" si="13"/>
        <v>111.76566666666668</v>
      </c>
      <c r="I129" s="19">
        <f t="shared" si="14"/>
        <v>24.575086415582248</v>
      </c>
      <c r="J129" s="10">
        <f t="shared" si="15"/>
        <v>0.21988046193895783</v>
      </c>
    </row>
    <row r="130" spans="1:26" ht="13" x14ac:dyDescent="0.15">
      <c r="A130" s="2">
        <v>165</v>
      </c>
      <c r="B130" s="2">
        <v>3305.7415000000001</v>
      </c>
      <c r="C130" s="2">
        <v>132.96799999999999</v>
      </c>
      <c r="D130" s="2">
        <v>3306.0938000000001</v>
      </c>
      <c r="E130" s="2">
        <v>132.982</v>
      </c>
      <c r="F130" s="2">
        <v>2195.1965</v>
      </c>
      <c r="G130" s="2">
        <v>87.989000000000004</v>
      </c>
      <c r="H130" s="2">
        <f t="shared" si="13"/>
        <v>117.97966666666666</v>
      </c>
      <c r="I130" s="19">
        <f t="shared" si="14"/>
        <v>25.972680153063475</v>
      </c>
      <c r="J130" s="10">
        <f t="shared" si="15"/>
        <v>0.22014539358248295</v>
      </c>
    </row>
    <row r="131" spans="1:26" ht="13" x14ac:dyDescent="0.15">
      <c r="A131" s="2">
        <v>180</v>
      </c>
      <c r="B131" s="2">
        <v>3458.4070000000002</v>
      </c>
      <c r="C131" s="2">
        <v>139.15100000000001</v>
      </c>
      <c r="D131" s="2">
        <v>3446.8123000000001</v>
      </c>
      <c r="E131" s="2">
        <v>138.68100000000001</v>
      </c>
      <c r="F131" s="2">
        <v>2392.8103000000001</v>
      </c>
      <c r="G131" s="2">
        <v>95.992000000000004</v>
      </c>
      <c r="H131" s="2">
        <f t="shared" si="13"/>
        <v>124.608</v>
      </c>
      <c r="I131" s="19">
        <f t="shared" si="14"/>
        <v>24.783297137386693</v>
      </c>
      <c r="J131" s="10">
        <f t="shared" si="15"/>
        <v>0.19889009644153419</v>
      </c>
    </row>
    <row r="132" spans="1:26" ht="13" x14ac:dyDescent="0.15">
      <c r="A132" s="2">
        <v>195</v>
      </c>
      <c r="B132" s="2">
        <v>3690.1505999999999</v>
      </c>
      <c r="C132" s="2">
        <v>148.53700000000001</v>
      </c>
      <c r="D132" s="2">
        <v>3657.4409000000001</v>
      </c>
      <c r="E132" s="2">
        <v>147.21199999999999</v>
      </c>
      <c r="F132" s="2">
        <v>2566.7644</v>
      </c>
      <c r="G132" s="2">
        <v>103.038</v>
      </c>
      <c r="H132" s="2">
        <f t="shared" si="13"/>
        <v>132.929</v>
      </c>
      <c r="I132" s="19">
        <f t="shared" si="14"/>
        <v>25.894841513320571</v>
      </c>
      <c r="J132" s="10">
        <f t="shared" si="15"/>
        <v>0.19480204856216907</v>
      </c>
    </row>
    <row r="133" spans="1:26" ht="13" x14ac:dyDescent="0.15">
      <c r="A133" s="2">
        <v>210</v>
      </c>
      <c r="B133" s="2">
        <v>3778.1504</v>
      </c>
      <c r="C133" s="2">
        <v>152.101</v>
      </c>
      <c r="D133" s="2">
        <v>3859.6720999999998</v>
      </c>
      <c r="E133" s="2">
        <v>155.40299999999999</v>
      </c>
      <c r="F133" s="2">
        <v>2681.1614</v>
      </c>
      <c r="G133" s="2">
        <v>107.67100000000001</v>
      </c>
      <c r="H133" s="2">
        <f t="shared" si="13"/>
        <v>138.39166666666668</v>
      </c>
      <c r="I133" s="19">
        <f t="shared" si="14"/>
        <v>26.656055997340033</v>
      </c>
      <c r="J133" s="10">
        <f t="shared" si="15"/>
        <v>0.19261315828751754</v>
      </c>
    </row>
    <row r="134" spans="1:26" ht="13" x14ac:dyDescent="0.15">
      <c r="A134" s="2">
        <v>225</v>
      </c>
      <c r="B134" s="2">
        <v>3851.2602999999999</v>
      </c>
      <c r="C134" s="2">
        <v>155.06200000000001</v>
      </c>
      <c r="D134" s="2">
        <v>3980.4070000000002</v>
      </c>
      <c r="E134" s="2">
        <v>160.292</v>
      </c>
      <c r="F134" s="2">
        <v>2876.0468999999998</v>
      </c>
      <c r="G134" s="2">
        <v>115.56399999999999</v>
      </c>
      <c r="H134" s="2">
        <f t="shared" si="13"/>
        <v>143.63933333333333</v>
      </c>
      <c r="I134" s="19">
        <f t="shared" si="14"/>
        <v>24.454171041630861</v>
      </c>
      <c r="J134" s="10">
        <f t="shared" si="15"/>
        <v>0.17024703800930244</v>
      </c>
    </row>
    <row r="135" spans="1:26" ht="13" x14ac:dyDescent="0.15">
      <c r="A135" s="2">
        <v>240</v>
      </c>
      <c r="B135" s="2">
        <v>4066.3462</v>
      </c>
      <c r="C135" s="2">
        <v>163.773</v>
      </c>
      <c r="D135" s="2">
        <v>4127.3369000000002</v>
      </c>
      <c r="E135" s="2">
        <v>166.24299999999999</v>
      </c>
      <c r="F135" s="2">
        <v>3122.1266999999998</v>
      </c>
      <c r="G135" s="2">
        <v>125.53100000000001</v>
      </c>
      <c r="H135" s="2">
        <f t="shared" si="13"/>
        <v>151.84899999999999</v>
      </c>
      <c r="I135" s="19">
        <f t="shared" si="14"/>
        <v>22.825491626687711</v>
      </c>
      <c r="J135" s="10">
        <f t="shared" si="15"/>
        <v>0.15031703617862294</v>
      </c>
    </row>
    <row r="139" spans="1:26" ht="13" x14ac:dyDescent="0.15">
      <c r="A139" s="21" t="s">
        <v>99</v>
      </c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5" spans="1:10" ht="13" x14ac:dyDescent="0.15">
      <c r="A145" s="4" t="s">
        <v>3</v>
      </c>
      <c r="B145" s="4" t="s">
        <v>82</v>
      </c>
      <c r="C145" s="4" t="s">
        <v>83</v>
      </c>
      <c r="D145" s="4" t="s">
        <v>82</v>
      </c>
      <c r="E145" s="4" t="s">
        <v>83</v>
      </c>
      <c r="F145" s="4" t="s">
        <v>82</v>
      </c>
      <c r="G145" s="4" t="s">
        <v>83</v>
      </c>
      <c r="H145" s="2" t="s">
        <v>92</v>
      </c>
      <c r="I145" s="2" t="s">
        <v>93</v>
      </c>
      <c r="J145" s="2" t="s">
        <v>94</v>
      </c>
    </row>
    <row r="146" spans="1:10" ht="13" x14ac:dyDescent="0.15">
      <c r="A146" s="2">
        <v>2.5</v>
      </c>
      <c r="B146" s="2">
        <v>695.95159999999998</v>
      </c>
      <c r="C146" s="2">
        <v>27.266999999999999</v>
      </c>
      <c r="D146" s="2">
        <v>701.43020000000001</v>
      </c>
      <c r="E146" s="2">
        <v>27.489000000000001</v>
      </c>
      <c r="F146" s="2">
        <v>885.7473</v>
      </c>
      <c r="G146" s="2">
        <v>34.954000000000001</v>
      </c>
      <c r="H146" s="2">
        <f t="shared" ref="H146:H168" si="16">AVERAGE(C146,E146,G146)</f>
        <v>29.903333333333336</v>
      </c>
      <c r="I146" s="19">
        <f t="shared" ref="I146:I168" si="17">STDEV(G146,E146,C146)</f>
        <v>4.3754138470930393</v>
      </c>
      <c r="J146" s="10">
        <f t="shared" ref="J146:J168" si="18">I146/H146</f>
        <v>0.14631859927855442</v>
      </c>
    </row>
    <row r="147" spans="1:10" ht="13" x14ac:dyDescent="0.15">
      <c r="A147" s="2">
        <v>5</v>
      </c>
      <c r="B147" s="2">
        <v>884.68939999999998</v>
      </c>
      <c r="C147" s="2">
        <v>34.911000000000001</v>
      </c>
      <c r="D147" s="2">
        <v>799.56150000000002</v>
      </c>
      <c r="E147" s="2">
        <v>31.463999999999999</v>
      </c>
      <c r="F147" s="2">
        <v>1049.0543</v>
      </c>
      <c r="G147" s="2">
        <v>41.567999999999998</v>
      </c>
      <c r="H147" s="2">
        <f t="shared" si="16"/>
        <v>35.981000000000002</v>
      </c>
      <c r="I147" s="19">
        <f t="shared" si="17"/>
        <v>5.1362806582195182</v>
      </c>
      <c r="J147" s="10">
        <f t="shared" si="18"/>
        <v>0.14274980290207381</v>
      </c>
    </row>
    <row r="148" spans="1:10" ht="13" x14ac:dyDescent="0.15">
      <c r="A148" s="2">
        <v>7.5</v>
      </c>
      <c r="B148" s="2">
        <v>1105.7374</v>
      </c>
      <c r="C148" s="2">
        <v>43.863999999999997</v>
      </c>
      <c r="D148" s="2">
        <v>952.34640000000002</v>
      </c>
      <c r="E148" s="2">
        <v>37.652000000000001</v>
      </c>
      <c r="F148" s="2">
        <v>1238.2289000000001</v>
      </c>
      <c r="G148" s="2">
        <v>49.23</v>
      </c>
      <c r="H148" s="2">
        <f t="shared" si="16"/>
        <v>43.581999999999994</v>
      </c>
      <c r="I148" s="19">
        <f t="shared" si="17"/>
        <v>5.7941491178600844</v>
      </c>
      <c r="J148" s="10">
        <f t="shared" si="18"/>
        <v>0.13294821526914977</v>
      </c>
    </row>
    <row r="149" spans="1:10" ht="13" x14ac:dyDescent="0.15">
      <c r="A149" s="2">
        <v>10</v>
      </c>
      <c r="B149" s="2">
        <v>1201.3445999999999</v>
      </c>
      <c r="C149" s="2">
        <v>47.735999999999997</v>
      </c>
      <c r="D149" s="2">
        <v>1100.1772000000001</v>
      </c>
      <c r="E149" s="2">
        <v>43.639000000000003</v>
      </c>
      <c r="F149" s="2">
        <v>1360.6675</v>
      </c>
      <c r="G149" s="2">
        <v>54.189</v>
      </c>
      <c r="H149" s="2">
        <f t="shared" si="16"/>
        <v>48.521333333333331</v>
      </c>
      <c r="I149" s="19">
        <f t="shared" si="17"/>
        <v>5.3186639613095812</v>
      </c>
      <c r="J149" s="10">
        <f t="shared" si="18"/>
        <v>0.1096149589454037</v>
      </c>
    </row>
    <row r="150" spans="1:10" ht="13" x14ac:dyDescent="0.15">
      <c r="A150" s="2">
        <v>15</v>
      </c>
      <c r="B150" s="2">
        <v>1409.009</v>
      </c>
      <c r="C150" s="2">
        <v>56.146999999999998</v>
      </c>
      <c r="D150" s="2">
        <v>1250.2949000000001</v>
      </c>
      <c r="E150" s="2">
        <v>49.719000000000001</v>
      </c>
      <c r="F150" s="2">
        <v>1551.9664</v>
      </c>
      <c r="G150" s="2">
        <v>61.936999999999998</v>
      </c>
      <c r="H150" s="2">
        <f t="shared" si="16"/>
        <v>55.934333333333335</v>
      </c>
      <c r="I150" s="19">
        <f t="shared" si="17"/>
        <v>6.1117756285169129</v>
      </c>
      <c r="J150" s="10">
        <f t="shared" si="18"/>
        <v>0.10926697905014057</v>
      </c>
    </row>
    <row r="151" spans="1:10" ht="13" x14ac:dyDescent="0.15">
      <c r="A151" s="2">
        <v>20</v>
      </c>
      <c r="B151" s="2">
        <v>1599.807</v>
      </c>
      <c r="C151" s="2">
        <v>63.875</v>
      </c>
      <c r="D151" s="2">
        <v>1347.2067</v>
      </c>
      <c r="E151" s="2">
        <v>53.643999999999998</v>
      </c>
      <c r="F151" s="2">
        <v>1778.6443999999999</v>
      </c>
      <c r="G151" s="2">
        <v>71.117999999999995</v>
      </c>
      <c r="H151" s="2">
        <f t="shared" si="16"/>
        <v>62.878999999999998</v>
      </c>
      <c r="I151" s="19">
        <f t="shared" si="17"/>
        <v>8.7794749843028281</v>
      </c>
      <c r="J151" s="10">
        <f t="shared" si="18"/>
        <v>0.13962491426871973</v>
      </c>
    </row>
    <row r="152" spans="1:10" ht="13" x14ac:dyDescent="0.15">
      <c r="A152" s="2">
        <v>25</v>
      </c>
      <c r="B152" s="2">
        <v>1774.9922999999999</v>
      </c>
      <c r="C152" s="2">
        <v>70.97</v>
      </c>
      <c r="D152" s="2">
        <v>1474.0813000000001</v>
      </c>
      <c r="E152" s="2">
        <v>58.783000000000001</v>
      </c>
      <c r="F152" s="2">
        <v>1910.9518</v>
      </c>
      <c r="G152" s="2">
        <v>76.475999999999999</v>
      </c>
      <c r="H152" s="2">
        <f t="shared" si="16"/>
        <v>68.742999999999995</v>
      </c>
      <c r="I152" s="19">
        <f t="shared" si="17"/>
        <v>9.05429229702683</v>
      </c>
      <c r="J152" s="10">
        <f t="shared" si="18"/>
        <v>0.13171220774517886</v>
      </c>
    </row>
    <row r="153" spans="1:10" ht="13" x14ac:dyDescent="0.15">
      <c r="A153" s="2">
        <v>30</v>
      </c>
      <c r="B153" s="2">
        <v>1905.6202000000001</v>
      </c>
      <c r="C153" s="2">
        <v>76.260999999999996</v>
      </c>
      <c r="D153" s="2">
        <v>1571.6054999999999</v>
      </c>
      <c r="E153" s="2">
        <v>62.731999999999999</v>
      </c>
      <c r="F153" s="2">
        <v>2024.8837000000001</v>
      </c>
      <c r="G153" s="2">
        <v>81.090999999999994</v>
      </c>
      <c r="H153" s="2">
        <f t="shared" si="16"/>
        <v>73.361333333333334</v>
      </c>
      <c r="I153" s="19">
        <f t="shared" si="17"/>
        <v>9.5167888666994358</v>
      </c>
      <c r="J153" s="10">
        <f t="shared" si="18"/>
        <v>0.12972486232574065</v>
      </c>
    </row>
    <row r="154" spans="1:10" ht="13" x14ac:dyDescent="0.15">
      <c r="A154" s="2">
        <v>40</v>
      </c>
      <c r="B154" s="2">
        <v>2137.9331000000002</v>
      </c>
      <c r="C154" s="2">
        <v>85.67</v>
      </c>
      <c r="D154" s="2">
        <v>1741.2915</v>
      </c>
      <c r="E154" s="2">
        <v>69.605000000000004</v>
      </c>
      <c r="F154" s="2">
        <v>2246.8993999999998</v>
      </c>
      <c r="G154" s="2">
        <v>90.082999999999998</v>
      </c>
      <c r="H154" s="2">
        <f t="shared" si="16"/>
        <v>81.786000000000001</v>
      </c>
      <c r="I154" s="19">
        <f t="shared" si="17"/>
        <v>10.777347215340193</v>
      </c>
      <c r="J154" s="10">
        <f t="shared" si="18"/>
        <v>0.13177496411782202</v>
      </c>
    </row>
    <row r="155" spans="1:10" ht="13" x14ac:dyDescent="0.15">
      <c r="A155" s="2">
        <v>50</v>
      </c>
      <c r="B155" s="2">
        <v>2297.1909000000001</v>
      </c>
      <c r="C155" s="2">
        <v>92.12</v>
      </c>
      <c r="D155" s="2">
        <v>1933.0876000000001</v>
      </c>
      <c r="E155" s="2">
        <v>77.373000000000005</v>
      </c>
      <c r="F155" s="2">
        <v>2437.6165000000001</v>
      </c>
      <c r="G155" s="2">
        <v>97.807000000000002</v>
      </c>
      <c r="H155" s="2">
        <f t="shared" si="16"/>
        <v>89.100000000000009</v>
      </c>
      <c r="I155" s="19">
        <f t="shared" si="17"/>
        <v>10.546439636199505</v>
      </c>
      <c r="J155" s="10">
        <f t="shared" si="18"/>
        <v>0.11836632588327164</v>
      </c>
    </row>
    <row r="156" spans="1:10" ht="13" x14ac:dyDescent="0.15">
      <c r="A156" s="2">
        <v>60</v>
      </c>
      <c r="B156" s="2">
        <v>2488.0645</v>
      </c>
      <c r="C156" s="2">
        <v>99.85</v>
      </c>
      <c r="D156" s="2">
        <v>2046.3125</v>
      </c>
      <c r="E156" s="2">
        <v>81.959000000000003</v>
      </c>
      <c r="F156" s="2">
        <v>2554.9850999999999</v>
      </c>
      <c r="G156" s="2">
        <v>102.56100000000001</v>
      </c>
      <c r="H156" s="2">
        <f t="shared" si="16"/>
        <v>94.79</v>
      </c>
      <c r="I156" s="19">
        <f t="shared" si="17"/>
        <v>11.194342365677404</v>
      </c>
      <c r="J156" s="10">
        <f t="shared" si="18"/>
        <v>0.1180962376376981</v>
      </c>
    </row>
    <row r="157" spans="1:10" ht="13" x14ac:dyDescent="0.15">
      <c r="A157" s="2">
        <v>75</v>
      </c>
      <c r="B157" s="2">
        <v>2640.2175000000002</v>
      </c>
      <c r="C157" s="2">
        <v>106.01300000000001</v>
      </c>
      <c r="D157" s="2">
        <v>2122.4841000000001</v>
      </c>
      <c r="E157" s="2">
        <v>85.043999999999997</v>
      </c>
      <c r="F157" s="2">
        <v>2825.4740999999999</v>
      </c>
      <c r="G157" s="2">
        <v>113.51600000000001</v>
      </c>
      <c r="H157" s="2">
        <f t="shared" si="16"/>
        <v>101.52433333333335</v>
      </c>
      <c r="I157" s="19">
        <f t="shared" si="17"/>
        <v>14.757194595631496</v>
      </c>
      <c r="J157" s="10">
        <f t="shared" si="18"/>
        <v>0.14535623245295703</v>
      </c>
    </row>
    <row r="158" spans="1:10" ht="13" x14ac:dyDescent="0.15">
      <c r="A158" s="2">
        <v>90</v>
      </c>
      <c r="B158" s="2">
        <v>2841.1547999999998</v>
      </c>
      <c r="C158" s="2">
        <v>114.151</v>
      </c>
      <c r="D158" s="2">
        <v>2294.5176000000001</v>
      </c>
      <c r="E158" s="2">
        <v>92.010999999999996</v>
      </c>
      <c r="F158" s="2">
        <v>3015.8258999999998</v>
      </c>
      <c r="G158" s="2">
        <v>121.226</v>
      </c>
      <c r="H158" s="2">
        <f t="shared" si="16"/>
        <v>109.12933333333332</v>
      </c>
      <c r="I158" s="19">
        <f t="shared" si="17"/>
        <v>15.241125559922938</v>
      </c>
      <c r="J158" s="10">
        <f t="shared" si="18"/>
        <v>0.13966112588051127</v>
      </c>
    </row>
    <row r="159" spans="1:10" ht="13" x14ac:dyDescent="0.15">
      <c r="A159" s="2">
        <v>105</v>
      </c>
      <c r="B159" s="2">
        <v>2982.5192999999999</v>
      </c>
      <c r="C159" s="2">
        <v>119.877</v>
      </c>
      <c r="D159" s="2">
        <v>2388.8269</v>
      </c>
      <c r="E159" s="2">
        <v>95.831000000000003</v>
      </c>
      <c r="F159" s="2">
        <v>3175.1907000000001</v>
      </c>
      <c r="G159" s="2">
        <v>127.68</v>
      </c>
      <c r="H159" s="2">
        <f t="shared" si="16"/>
        <v>114.46266666666668</v>
      </c>
      <c r="I159" s="19">
        <f t="shared" si="17"/>
        <v>16.600480545253191</v>
      </c>
      <c r="J159" s="10">
        <f t="shared" si="18"/>
        <v>0.1450296505287301</v>
      </c>
    </row>
    <row r="160" spans="1:10" ht="13" x14ac:dyDescent="0.15">
      <c r="A160" s="2">
        <v>120</v>
      </c>
      <c r="B160" s="2">
        <v>3175.1921000000002</v>
      </c>
      <c r="C160" s="2">
        <v>127.68</v>
      </c>
      <c r="D160" s="2">
        <v>2686.2559000000001</v>
      </c>
      <c r="E160" s="2">
        <v>107.877</v>
      </c>
      <c r="F160" s="2">
        <v>3328.1484</v>
      </c>
      <c r="G160" s="2">
        <v>133.875</v>
      </c>
      <c r="H160" s="2">
        <f t="shared" si="16"/>
        <v>123.14400000000001</v>
      </c>
      <c r="I160" s="19">
        <f t="shared" si="17"/>
        <v>13.579597674452661</v>
      </c>
      <c r="J160" s="10">
        <f t="shared" si="18"/>
        <v>0.11027413170314965</v>
      </c>
    </row>
    <row r="161" spans="1:10" ht="13" x14ac:dyDescent="0.15">
      <c r="A161" s="2">
        <v>135</v>
      </c>
      <c r="B161" s="2">
        <v>3275.2548999999999</v>
      </c>
      <c r="C161" s="2">
        <v>131.733</v>
      </c>
      <c r="D161" s="2">
        <v>2754.4702000000002</v>
      </c>
      <c r="E161" s="2">
        <v>110.64</v>
      </c>
      <c r="F161" s="2">
        <v>3436.4187000000002</v>
      </c>
      <c r="G161" s="2">
        <v>138.26</v>
      </c>
      <c r="H161" s="2">
        <f t="shared" si="16"/>
        <v>126.87766666666666</v>
      </c>
      <c r="I161" s="19">
        <f t="shared" si="17"/>
        <v>14.435954985151943</v>
      </c>
      <c r="J161" s="10">
        <f t="shared" si="18"/>
        <v>0.11377853458700594</v>
      </c>
    </row>
    <row r="162" spans="1:10" ht="13" x14ac:dyDescent="0.15">
      <c r="A162" s="2">
        <v>150</v>
      </c>
      <c r="B162" s="2">
        <v>3308.1208000000001</v>
      </c>
      <c r="C162" s="2">
        <v>133.06399999999999</v>
      </c>
      <c r="D162" s="2">
        <v>2955.5601000000001</v>
      </c>
      <c r="E162" s="2">
        <v>118.785</v>
      </c>
      <c r="F162" s="2">
        <v>3583.7975999999999</v>
      </c>
      <c r="G162" s="2">
        <v>144.22900000000001</v>
      </c>
      <c r="H162" s="2">
        <f t="shared" si="16"/>
        <v>132.02599999999998</v>
      </c>
      <c r="I162" s="19">
        <f t="shared" si="17"/>
        <v>12.753719731905676</v>
      </c>
      <c r="J162" s="10">
        <f t="shared" si="18"/>
        <v>9.6600061593214048E-2</v>
      </c>
    </row>
    <row r="163" spans="1:10" ht="13" x14ac:dyDescent="0.15">
      <c r="A163" s="2">
        <v>165</v>
      </c>
      <c r="B163" s="2">
        <v>3480.5425</v>
      </c>
      <c r="C163" s="2">
        <v>140.047</v>
      </c>
      <c r="D163" s="2">
        <v>3047.4443000000001</v>
      </c>
      <c r="E163" s="2">
        <v>122.506</v>
      </c>
      <c r="F163" s="2">
        <v>3737.2019</v>
      </c>
      <c r="G163" s="2">
        <v>150.44200000000001</v>
      </c>
      <c r="H163" s="2">
        <f t="shared" si="16"/>
        <v>137.66499999999999</v>
      </c>
      <c r="I163" s="19">
        <f t="shared" si="17"/>
        <v>14.119506613192971</v>
      </c>
      <c r="J163" s="10">
        <f t="shared" si="18"/>
        <v>0.10256424373074473</v>
      </c>
    </row>
    <row r="164" spans="1:10" ht="13" x14ac:dyDescent="0.15">
      <c r="A164" s="2">
        <v>180</v>
      </c>
      <c r="B164" s="2">
        <v>3622.8542000000002</v>
      </c>
      <c r="C164" s="2">
        <v>145.81100000000001</v>
      </c>
      <c r="D164" s="2">
        <v>3126.8712999999998</v>
      </c>
      <c r="E164" s="2">
        <v>125.723</v>
      </c>
      <c r="F164" s="2">
        <v>3841.3647000000001</v>
      </c>
      <c r="G164" s="2">
        <v>154.661</v>
      </c>
      <c r="H164" s="2">
        <f t="shared" si="16"/>
        <v>142.065</v>
      </c>
      <c r="I164" s="19">
        <f t="shared" si="17"/>
        <v>14.828228080252881</v>
      </c>
      <c r="J164" s="10">
        <f t="shared" si="18"/>
        <v>0.10437636349736305</v>
      </c>
    </row>
    <row r="165" spans="1:10" ht="13" x14ac:dyDescent="0.15">
      <c r="A165" s="2">
        <v>195</v>
      </c>
      <c r="B165" s="2">
        <v>3718.1356999999998</v>
      </c>
      <c r="C165" s="2">
        <v>149.66999999999999</v>
      </c>
      <c r="D165" s="2">
        <v>3221.3818000000001</v>
      </c>
      <c r="E165" s="2">
        <v>129.55099999999999</v>
      </c>
      <c r="F165" s="2">
        <v>3978.8661999999999</v>
      </c>
      <c r="G165" s="2">
        <v>160.22999999999999</v>
      </c>
      <c r="H165" s="2">
        <f t="shared" si="16"/>
        <v>146.48366666666666</v>
      </c>
      <c r="I165" s="19">
        <f t="shared" si="17"/>
        <v>15.585724247956312</v>
      </c>
      <c r="J165" s="10">
        <f t="shared" si="18"/>
        <v>0.10639905869794115</v>
      </c>
    </row>
    <row r="166" spans="1:10" ht="13" x14ac:dyDescent="0.15">
      <c r="A166" s="2">
        <v>210</v>
      </c>
      <c r="B166" s="2">
        <v>3781.1538</v>
      </c>
      <c r="C166" s="2">
        <v>152.22200000000001</v>
      </c>
      <c r="D166" s="2">
        <v>3362.8606</v>
      </c>
      <c r="E166" s="2">
        <v>135.28100000000001</v>
      </c>
      <c r="F166" s="2">
        <v>4091.2089999999998</v>
      </c>
      <c r="G166" s="2">
        <v>164.78</v>
      </c>
      <c r="H166" s="2">
        <f t="shared" si="16"/>
        <v>150.761</v>
      </c>
      <c r="I166" s="19">
        <f t="shared" si="17"/>
        <v>14.803669849061075</v>
      </c>
      <c r="J166" s="10">
        <f t="shared" si="18"/>
        <v>9.8192966676136903E-2</v>
      </c>
    </row>
    <row r="167" spans="1:10" ht="13" x14ac:dyDescent="0.15">
      <c r="A167" s="2">
        <v>225</v>
      </c>
      <c r="B167" s="2">
        <v>3857.9054999999998</v>
      </c>
      <c r="C167" s="2">
        <v>155.33099999999999</v>
      </c>
      <c r="D167" s="2">
        <v>3432.739</v>
      </c>
      <c r="E167" s="2">
        <v>138.11099999999999</v>
      </c>
      <c r="F167" s="2">
        <v>4192.7295000000004</v>
      </c>
      <c r="G167" s="2">
        <v>168.892</v>
      </c>
      <c r="H167" s="2">
        <f t="shared" si="16"/>
        <v>154.11133333333333</v>
      </c>
      <c r="I167" s="19">
        <f t="shared" si="17"/>
        <v>15.426703482381887</v>
      </c>
      <c r="J167" s="10">
        <f t="shared" si="18"/>
        <v>0.10010103182362894</v>
      </c>
    </row>
    <row r="168" spans="1:10" ht="13" x14ac:dyDescent="0.15">
      <c r="A168" s="2">
        <v>240</v>
      </c>
      <c r="B168" s="2">
        <v>3923.6729</v>
      </c>
      <c r="C168" s="2">
        <v>157.995</v>
      </c>
      <c r="D168" s="2">
        <v>3558.2791000000002</v>
      </c>
      <c r="E168" s="2">
        <v>143.196</v>
      </c>
      <c r="F168" s="2">
        <v>4305.3296</v>
      </c>
      <c r="G168" s="2">
        <v>173.452</v>
      </c>
      <c r="H168" s="2">
        <f t="shared" si="16"/>
        <v>158.21433333333334</v>
      </c>
      <c r="I168" s="19">
        <f t="shared" si="17"/>
        <v>15.1291924547655</v>
      </c>
      <c r="J168" s="10">
        <f t="shared" si="18"/>
        <v>9.5624663935413551E-2</v>
      </c>
    </row>
  </sheetData>
  <mergeCells count="1">
    <mergeCell ref="A2:E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31"/>
  <sheetViews>
    <sheetView workbookViewId="0"/>
  </sheetViews>
  <sheetFormatPr baseColWidth="10" defaultColWidth="12.6640625" defaultRowHeight="15.75" customHeight="1" x14ac:dyDescent="0.15"/>
  <sheetData>
    <row r="1" spans="1:26" ht="15.75" customHeight="1" x14ac:dyDescent="0.15">
      <c r="A1" s="2" t="s">
        <v>51</v>
      </c>
      <c r="H1" s="9"/>
      <c r="I1" s="2" t="s">
        <v>55</v>
      </c>
      <c r="M1" s="9"/>
      <c r="N1" s="2" t="s">
        <v>56</v>
      </c>
      <c r="Q1" s="9"/>
      <c r="R1" s="2" t="s">
        <v>100</v>
      </c>
    </row>
    <row r="2" spans="1:26" ht="15.75" customHeight="1" x14ac:dyDescent="0.15">
      <c r="A2" s="38" t="s">
        <v>59</v>
      </c>
      <c r="B2" s="35"/>
      <c r="C2" s="35"/>
      <c r="D2" s="35"/>
      <c r="E2" s="35"/>
      <c r="H2" s="9"/>
      <c r="M2" s="9"/>
      <c r="Q2" s="9"/>
    </row>
    <row r="3" spans="1:26" ht="15.75" customHeight="1" x14ac:dyDescent="0.15">
      <c r="B3" s="2" t="s">
        <v>60</v>
      </c>
      <c r="C3" s="2" t="s">
        <v>61</v>
      </c>
      <c r="D3" s="2" t="s">
        <v>62</v>
      </c>
      <c r="H3" s="9"/>
      <c r="J3" s="2" t="s">
        <v>63</v>
      </c>
      <c r="K3" s="2" t="s">
        <v>61</v>
      </c>
      <c r="M3" s="9"/>
      <c r="O3" s="2" t="s">
        <v>63</v>
      </c>
      <c r="P3" s="2" t="s">
        <v>61</v>
      </c>
      <c r="Q3" s="9"/>
      <c r="S3" s="2" t="s">
        <v>63</v>
      </c>
      <c r="T3" s="2" t="s">
        <v>61</v>
      </c>
    </row>
    <row r="4" spans="1:26" ht="15.75" customHeight="1" x14ac:dyDescent="0.15">
      <c r="A4" s="2" t="s">
        <v>64</v>
      </c>
      <c r="B4" s="2">
        <v>555.70000000000005</v>
      </c>
      <c r="C4" s="2">
        <v>15</v>
      </c>
      <c r="D4" s="15">
        <f t="shared" ref="D4:D8" si="0">$B$11*C4*B4/1000</f>
        <v>4.1677499999999998</v>
      </c>
      <c r="F4" s="2">
        <f t="shared" ref="F4:F5" si="1">D4/2</f>
        <v>2.0838749999999999</v>
      </c>
      <c r="H4" s="9"/>
      <c r="I4" s="2" t="s">
        <v>64</v>
      </c>
      <c r="J4" s="2">
        <v>4.1425999999999998</v>
      </c>
      <c r="K4" s="2">
        <f t="shared" ref="K4:K8" si="2">(J4/$B4)*1000/$J$11</f>
        <v>15.00853989760528</v>
      </c>
      <c r="L4" s="15"/>
      <c r="M4" s="9"/>
      <c r="N4" s="2" t="s">
        <v>64</v>
      </c>
      <c r="O4" s="2">
        <v>4.1688000000000001</v>
      </c>
      <c r="P4" s="2">
        <f t="shared" ref="P4:P8" si="3">(O4/$B4)*1000/$J$11</f>
        <v>15.103461865769541</v>
      </c>
      <c r="Q4" s="9"/>
      <c r="R4" s="2" t="s">
        <v>64</v>
      </c>
      <c r="S4" s="2">
        <v>2.0941999999999998</v>
      </c>
      <c r="T4" s="2">
        <f t="shared" ref="T4:T8" si="4">(S4/$B4)*1000/$J$11</f>
        <v>7.5872360965492627</v>
      </c>
    </row>
    <row r="5" spans="1:26" ht="15.75" customHeight="1" x14ac:dyDescent="0.15">
      <c r="A5" s="2" t="s">
        <v>65</v>
      </c>
      <c r="B5" s="2">
        <v>750</v>
      </c>
      <c r="C5" s="2">
        <v>3.75</v>
      </c>
      <c r="D5" s="15">
        <f t="shared" si="0"/>
        <v>1.40625</v>
      </c>
      <c r="F5" s="2">
        <f t="shared" si="1"/>
        <v>0.703125</v>
      </c>
      <c r="H5" s="9"/>
      <c r="I5" s="2" t="s">
        <v>65</v>
      </c>
      <c r="J5" s="2">
        <v>1.4032</v>
      </c>
      <c r="K5" s="2">
        <f t="shared" si="2"/>
        <v>3.7667270652976312</v>
      </c>
      <c r="L5" s="15"/>
      <c r="M5" s="9"/>
      <c r="N5" s="2" t="s">
        <v>65</v>
      </c>
      <c r="O5" s="2">
        <v>1.411</v>
      </c>
      <c r="P5" s="2">
        <f t="shared" si="3"/>
        <v>3.7876652573652776</v>
      </c>
      <c r="Q5" s="9"/>
      <c r="R5" s="2" t="s">
        <v>65</v>
      </c>
      <c r="S5" s="2">
        <v>0.70009999999999994</v>
      </c>
      <c r="T5" s="2">
        <f t="shared" si="4"/>
        <v>1.8793369572511913</v>
      </c>
    </row>
    <row r="6" spans="1:26" x14ac:dyDescent="0.2">
      <c r="A6" s="2" t="s">
        <v>66</v>
      </c>
      <c r="B6" s="16">
        <v>60.052</v>
      </c>
      <c r="C6" s="7">
        <f t="shared" ref="C6:C8" si="5">E6/B6*1000</f>
        <v>144.04183041364152</v>
      </c>
      <c r="D6" s="15">
        <f t="shared" si="0"/>
        <v>4.3250000000000002</v>
      </c>
      <c r="E6" s="2">
        <v>8.65</v>
      </c>
      <c r="F6" s="2">
        <v>1.05</v>
      </c>
      <c r="G6" s="2" t="s">
        <v>67</v>
      </c>
      <c r="H6" s="9"/>
      <c r="I6" s="2" t="s">
        <v>66</v>
      </c>
      <c r="J6" s="15">
        <v>4.3259999999999996</v>
      </c>
      <c r="K6" s="2">
        <f t="shared" si="2"/>
        <v>145.03234838242531</v>
      </c>
      <c r="L6" s="15"/>
      <c r="M6" s="9"/>
      <c r="N6" s="2" t="s">
        <v>66</v>
      </c>
      <c r="O6" s="15">
        <v>4.3259999999999996</v>
      </c>
      <c r="P6" s="2">
        <f t="shared" si="3"/>
        <v>145.03234838242531</v>
      </c>
      <c r="Q6" s="9"/>
      <c r="R6" s="2" t="s">
        <v>66</v>
      </c>
      <c r="S6" s="15"/>
      <c r="T6" s="2">
        <f t="shared" si="4"/>
        <v>0</v>
      </c>
    </row>
    <row r="7" spans="1:26" ht="15.75" customHeight="1" x14ac:dyDescent="0.15">
      <c r="A7" s="2" t="s">
        <v>68</v>
      </c>
      <c r="B7" s="2">
        <v>40</v>
      </c>
      <c r="C7" s="7">
        <f t="shared" si="5"/>
        <v>101</v>
      </c>
      <c r="D7" s="15">
        <f t="shared" si="0"/>
        <v>2.02</v>
      </c>
      <c r="E7" s="2">
        <v>4.04</v>
      </c>
      <c r="F7" s="2">
        <v>4.1189999999999998</v>
      </c>
      <c r="G7" s="2" t="s">
        <v>69</v>
      </c>
      <c r="H7" s="9"/>
      <c r="I7" s="2" t="s">
        <v>68</v>
      </c>
      <c r="J7" s="2">
        <v>2.0297999999999998</v>
      </c>
      <c r="K7" s="2">
        <f t="shared" si="2"/>
        <v>102.16428427622307</v>
      </c>
      <c r="L7" s="15"/>
      <c r="M7" s="9"/>
      <c r="N7" s="2" t="s">
        <v>68</v>
      </c>
      <c r="O7" s="2">
        <v>2.0082</v>
      </c>
      <c r="P7" s="2">
        <f t="shared" si="3"/>
        <v>101.07710891886451</v>
      </c>
      <c r="Q7" s="9"/>
      <c r="R7" s="2" t="s">
        <v>68</v>
      </c>
      <c r="S7" s="2">
        <v>1.0649999999999999</v>
      </c>
      <c r="T7" s="2">
        <f t="shared" si="4"/>
        <v>53.603784980873769</v>
      </c>
    </row>
    <row r="8" spans="1:26" ht="15.75" customHeight="1" x14ac:dyDescent="0.15">
      <c r="A8" s="2" t="s">
        <v>70</v>
      </c>
      <c r="B8" s="2">
        <v>58.44</v>
      </c>
      <c r="C8" s="7">
        <f t="shared" si="5"/>
        <v>203.1827515400411</v>
      </c>
      <c r="D8" s="15">
        <f t="shared" si="0"/>
        <v>5.9370000000000012</v>
      </c>
      <c r="E8" s="2">
        <v>11.874000000000001</v>
      </c>
      <c r="F8" s="2">
        <f>D7/2</f>
        <v>1.01</v>
      </c>
      <c r="H8" s="9"/>
      <c r="I8" s="2" t="s">
        <v>70</v>
      </c>
      <c r="J8" s="2">
        <v>6.0084</v>
      </c>
      <c r="K8" s="2">
        <f t="shared" si="2"/>
        <v>206.99243342818249</v>
      </c>
      <c r="L8" s="15"/>
      <c r="M8" s="9"/>
      <c r="N8" s="2" t="s">
        <v>70</v>
      </c>
      <c r="O8" s="2">
        <v>5.89</v>
      </c>
      <c r="P8" s="2">
        <f t="shared" si="3"/>
        <v>202.91349325810447</v>
      </c>
      <c r="Q8" s="9"/>
      <c r="R8" s="2" t="s">
        <v>70</v>
      </c>
      <c r="S8" s="2">
        <v>2.9439000000000002</v>
      </c>
      <c r="T8" s="2">
        <f t="shared" si="4"/>
        <v>101.41885107003969</v>
      </c>
    </row>
    <row r="9" spans="1:26" ht="15.75" customHeight="1" x14ac:dyDescent="0.15">
      <c r="H9" s="9"/>
      <c r="M9" s="9"/>
      <c r="Q9" s="9"/>
    </row>
    <row r="10" spans="1:26" ht="15.75" customHeight="1" x14ac:dyDescent="0.15">
      <c r="H10" s="9"/>
      <c r="M10" s="9"/>
      <c r="Q10" s="9"/>
    </row>
    <row r="11" spans="1:26" ht="15.75" customHeight="1" x14ac:dyDescent="0.15">
      <c r="A11" s="2" t="s">
        <v>71</v>
      </c>
      <c r="B11" s="2">
        <v>0.5</v>
      </c>
      <c r="D11" s="2" t="s">
        <v>72</v>
      </c>
      <c r="E11" s="7">
        <v>5</v>
      </c>
      <c r="H11" s="9"/>
      <c r="I11" s="2" t="s">
        <v>73</v>
      </c>
      <c r="J11" s="2">
        <f>J12/1000</f>
        <v>0.49669999999999997</v>
      </c>
      <c r="M11" s="9"/>
      <c r="N11" s="2" t="s">
        <v>73</v>
      </c>
      <c r="O11" s="2">
        <f>O12/1000</f>
        <v>0.4995</v>
      </c>
      <c r="Q11" s="9"/>
      <c r="R11" s="2" t="s">
        <v>73</v>
      </c>
      <c r="S11" s="2">
        <f>S12/1000</f>
        <v>0.24990000000000001</v>
      </c>
    </row>
    <row r="12" spans="1:26" ht="15.75" customHeight="1" x14ac:dyDescent="0.15">
      <c r="A12" s="17"/>
      <c r="B12" s="17"/>
      <c r="C12" s="17"/>
      <c r="D12" s="17"/>
      <c r="E12" s="17"/>
      <c r="F12" s="17"/>
      <c r="G12" s="17"/>
      <c r="H12" s="9"/>
      <c r="J12" s="2">
        <v>496.7</v>
      </c>
      <c r="K12" s="2" t="s">
        <v>76</v>
      </c>
      <c r="M12" s="9"/>
      <c r="O12" s="2">
        <v>499.5</v>
      </c>
      <c r="P12" s="2" t="s">
        <v>76</v>
      </c>
      <c r="Q12" s="9"/>
      <c r="S12" s="2">
        <v>249.9</v>
      </c>
      <c r="T12" s="2" t="s">
        <v>76</v>
      </c>
    </row>
    <row r="13" spans="1:26" ht="15.75" customHeight="1" x14ac:dyDescent="0.15">
      <c r="A13" s="9" t="s">
        <v>101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15.75" customHeight="1" x14ac:dyDescent="0.15">
      <c r="P14" s="2" t="s">
        <v>102</v>
      </c>
    </row>
    <row r="17" spans="1:16" ht="15.75" customHeight="1" x14ac:dyDescent="0.15">
      <c r="B17" s="2" t="s">
        <v>103</v>
      </c>
    </row>
    <row r="18" spans="1:16" ht="15.75" customHeight="1" x14ac:dyDescent="0.15">
      <c r="A18" s="4" t="s">
        <v>3</v>
      </c>
      <c r="B18" s="4" t="s">
        <v>82</v>
      </c>
      <c r="C18" s="4" t="s">
        <v>83</v>
      </c>
    </row>
    <row r="19" spans="1:16" ht="15.75" customHeight="1" x14ac:dyDescent="0.15">
      <c r="A19" s="2">
        <v>2.5</v>
      </c>
      <c r="B19" s="15">
        <v>51.645299999999999</v>
      </c>
      <c r="C19" s="19">
        <v>3.2869999999999999</v>
      </c>
      <c r="D19" s="10">
        <f t="shared" ref="D19:D41" si="6">C19/200</f>
        <v>1.6434999999999998E-2</v>
      </c>
    </row>
    <row r="20" spans="1:16" ht="15.75" customHeight="1" x14ac:dyDescent="0.15">
      <c r="A20" s="2">
        <v>5</v>
      </c>
      <c r="B20" s="15">
        <v>99.194900000000004</v>
      </c>
      <c r="C20" s="19">
        <v>6.8380000000000001</v>
      </c>
      <c r="D20" s="10">
        <f t="shared" si="6"/>
        <v>3.4189999999999998E-2</v>
      </c>
    </row>
    <row r="21" spans="1:16" ht="15.75" customHeight="1" x14ac:dyDescent="0.15">
      <c r="A21" s="2">
        <v>7.5</v>
      </c>
      <c r="B21" s="19">
        <v>143.76840000000001</v>
      </c>
      <c r="C21" s="19">
        <v>10.167</v>
      </c>
      <c r="D21" s="10">
        <f t="shared" si="6"/>
        <v>5.0834999999999998E-2</v>
      </c>
    </row>
    <row r="22" spans="1:16" ht="15.75" customHeight="1" x14ac:dyDescent="0.15">
      <c r="A22" s="2">
        <v>10</v>
      </c>
      <c r="B22" s="19">
        <v>177.45930000000001</v>
      </c>
      <c r="C22" s="19">
        <v>12.683</v>
      </c>
      <c r="D22" s="10">
        <f t="shared" si="6"/>
        <v>6.3414999999999999E-2</v>
      </c>
    </row>
    <row r="23" spans="1:16" ht="15.75" customHeight="1" x14ac:dyDescent="0.15">
      <c r="A23" s="2">
        <v>15</v>
      </c>
      <c r="B23" s="19">
        <v>232.1147</v>
      </c>
      <c r="C23" s="19">
        <v>16.765000000000001</v>
      </c>
      <c r="D23" s="10">
        <f t="shared" si="6"/>
        <v>8.3824999999999997E-2</v>
      </c>
    </row>
    <row r="24" spans="1:16" ht="15.75" customHeight="1" x14ac:dyDescent="0.15">
      <c r="A24" s="2">
        <v>20</v>
      </c>
      <c r="B24" s="15">
        <v>268.59429999999998</v>
      </c>
      <c r="C24" s="19">
        <v>19.489000000000001</v>
      </c>
      <c r="D24" s="10">
        <f t="shared" si="6"/>
        <v>9.7445000000000004E-2</v>
      </c>
      <c r="M24" s="2">
        <v>1145</v>
      </c>
      <c r="N24" s="2" t="s">
        <v>104</v>
      </c>
      <c r="O24" s="2">
        <v>10000</v>
      </c>
      <c r="P24" s="2" t="s">
        <v>104</v>
      </c>
    </row>
    <row r="25" spans="1:16" ht="15.75" customHeight="1" x14ac:dyDescent="0.15">
      <c r="A25" s="2">
        <v>25</v>
      </c>
      <c r="B25" s="15">
        <v>310.0489</v>
      </c>
      <c r="C25" s="19">
        <v>22.585000000000001</v>
      </c>
      <c r="D25" s="10">
        <f t="shared" si="6"/>
        <v>0.112925</v>
      </c>
      <c r="M25" s="2">
        <v>900</v>
      </c>
      <c r="N25" s="2" t="s">
        <v>105</v>
      </c>
      <c r="O25" s="2">
        <v>400</v>
      </c>
      <c r="P25" s="2" t="s">
        <v>106</v>
      </c>
    </row>
    <row r="26" spans="1:16" ht="15.75" customHeight="1" x14ac:dyDescent="0.15">
      <c r="A26" s="2">
        <v>30</v>
      </c>
      <c r="B26" s="15">
        <v>335.98419999999999</v>
      </c>
      <c r="C26" s="19">
        <v>24.521999999999998</v>
      </c>
      <c r="D26" s="10">
        <f t="shared" si="6"/>
        <v>0.12261</v>
      </c>
    </row>
    <row r="27" spans="1:16" ht="15.75" customHeight="1" x14ac:dyDescent="0.15">
      <c r="A27" s="2">
        <v>40</v>
      </c>
      <c r="B27" s="15">
        <v>379.47190000000001</v>
      </c>
      <c r="C27" s="19">
        <v>27.77</v>
      </c>
      <c r="D27" s="10">
        <f t="shared" si="6"/>
        <v>0.13885</v>
      </c>
      <c r="M27" s="2">
        <f>M24/M25</f>
        <v>1.2722222222222221</v>
      </c>
      <c r="O27" s="2">
        <f>O24/O25</f>
        <v>25</v>
      </c>
    </row>
    <row r="28" spans="1:16" ht="15.75" customHeight="1" x14ac:dyDescent="0.15">
      <c r="A28" s="2">
        <v>50</v>
      </c>
      <c r="B28" s="15">
        <v>415.2595</v>
      </c>
      <c r="C28" s="19">
        <v>30.443000000000001</v>
      </c>
      <c r="D28" s="10">
        <f t="shared" si="6"/>
        <v>0.15221500000000002</v>
      </c>
    </row>
    <row r="29" spans="1:16" ht="15.75" customHeight="1" x14ac:dyDescent="0.15">
      <c r="A29" s="2">
        <v>60</v>
      </c>
      <c r="B29" s="15">
        <v>451.69499999999999</v>
      </c>
      <c r="C29" s="19">
        <v>33.164000000000001</v>
      </c>
      <c r="D29" s="10">
        <f t="shared" si="6"/>
        <v>0.16582</v>
      </c>
    </row>
    <row r="30" spans="1:16" ht="15.75" customHeight="1" x14ac:dyDescent="0.15">
      <c r="A30" s="2">
        <v>75</v>
      </c>
      <c r="B30" s="15">
        <v>487.73039999999997</v>
      </c>
      <c r="C30" s="19">
        <v>35.854999999999997</v>
      </c>
      <c r="D30" s="10">
        <f t="shared" si="6"/>
        <v>0.17927499999999999</v>
      </c>
    </row>
    <row r="31" spans="1:16" ht="15.75" customHeight="1" x14ac:dyDescent="0.15">
      <c r="A31" s="2">
        <v>90</v>
      </c>
      <c r="B31" s="15">
        <v>537.98220000000003</v>
      </c>
      <c r="C31" s="19">
        <v>39.607999999999997</v>
      </c>
      <c r="D31" s="10">
        <f t="shared" si="6"/>
        <v>0.19803999999999999</v>
      </c>
    </row>
    <row r="32" spans="1:16" ht="15.75" customHeight="1" x14ac:dyDescent="0.15">
      <c r="A32" s="2">
        <v>105</v>
      </c>
      <c r="B32" s="15">
        <v>580.6857</v>
      </c>
      <c r="C32" s="19">
        <v>42.796999999999997</v>
      </c>
      <c r="D32" s="10">
        <f t="shared" si="6"/>
        <v>0.21398499999999998</v>
      </c>
    </row>
    <row r="33" spans="1:26" ht="15.75" customHeight="1" x14ac:dyDescent="0.15">
      <c r="A33" s="2">
        <v>120</v>
      </c>
      <c r="B33" s="15">
        <v>632.02359999999999</v>
      </c>
      <c r="C33" s="19">
        <v>46.631</v>
      </c>
      <c r="D33" s="10">
        <f t="shared" si="6"/>
        <v>0.233155</v>
      </c>
    </row>
    <row r="34" spans="1:26" ht="15.75" customHeight="1" x14ac:dyDescent="0.15">
      <c r="A34" s="2">
        <v>135</v>
      </c>
      <c r="B34" s="15">
        <v>664.89530000000002</v>
      </c>
      <c r="C34" s="19">
        <v>49.085999999999999</v>
      </c>
      <c r="D34" s="10">
        <f t="shared" si="6"/>
        <v>0.24542999999999998</v>
      </c>
    </row>
    <row r="35" spans="1:26" ht="15.75" customHeight="1" x14ac:dyDescent="0.15">
      <c r="A35" s="2">
        <v>150</v>
      </c>
      <c r="B35" s="15">
        <v>690.49189999999999</v>
      </c>
      <c r="C35" s="19">
        <v>50.997999999999998</v>
      </c>
      <c r="D35" s="10">
        <f t="shared" si="6"/>
        <v>0.25498999999999999</v>
      </c>
    </row>
    <row r="36" spans="1:26" ht="15.75" customHeight="1" x14ac:dyDescent="0.15">
      <c r="A36" s="2">
        <v>165</v>
      </c>
      <c r="B36" s="15">
        <v>734.57100000000003</v>
      </c>
      <c r="C36" s="19">
        <v>54.29</v>
      </c>
      <c r="D36" s="10">
        <f t="shared" si="6"/>
        <v>0.27144999999999997</v>
      </c>
    </row>
    <row r="37" spans="1:26" ht="15.75" customHeight="1" x14ac:dyDescent="0.15">
      <c r="A37" s="2">
        <v>180</v>
      </c>
      <c r="B37" s="15">
        <v>778.02520000000004</v>
      </c>
      <c r="C37" s="19">
        <v>57.534999999999997</v>
      </c>
      <c r="D37" s="10">
        <f t="shared" si="6"/>
        <v>0.28767499999999996</v>
      </c>
    </row>
    <row r="38" spans="1:26" ht="15.75" customHeight="1" x14ac:dyDescent="0.15">
      <c r="A38" s="2">
        <v>195</v>
      </c>
      <c r="B38" s="15">
        <v>777.79639999999995</v>
      </c>
      <c r="C38" s="19">
        <v>57.518000000000001</v>
      </c>
      <c r="D38" s="10">
        <f t="shared" si="6"/>
        <v>0.28759000000000001</v>
      </c>
    </row>
    <row r="39" spans="1:26" ht="15.75" customHeight="1" x14ac:dyDescent="0.15">
      <c r="A39" s="2">
        <v>210</v>
      </c>
      <c r="B39" s="15">
        <v>808.4434</v>
      </c>
      <c r="C39" s="19">
        <v>59.807000000000002</v>
      </c>
      <c r="D39" s="10">
        <f t="shared" si="6"/>
        <v>0.299035</v>
      </c>
    </row>
    <row r="40" spans="1:26" ht="15.75" customHeight="1" x14ac:dyDescent="0.15">
      <c r="A40" s="2">
        <v>225</v>
      </c>
      <c r="B40" s="15">
        <v>850.149</v>
      </c>
      <c r="C40" s="19">
        <v>62.921999999999997</v>
      </c>
      <c r="D40" s="10">
        <f t="shared" si="6"/>
        <v>0.31461</v>
      </c>
    </row>
    <row r="41" spans="1:26" ht="15.75" customHeight="1" x14ac:dyDescent="0.15">
      <c r="A41" s="2">
        <v>240</v>
      </c>
      <c r="B41" s="15">
        <v>882.40060000000005</v>
      </c>
      <c r="C41" s="19">
        <v>65.33</v>
      </c>
      <c r="D41" s="10">
        <f t="shared" si="6"/>
        <v>0.32665</v>
      </c>
    </row>
    <row r="43" spans="1:26" ht="15.75" customHeight="1" x14ac:dyDescent="0.15">
      <c r="A43" s="2" t="s">
        <v>107</v>
      </c>
    </row>
    <row r="44" spans="1:26" ht="15.75" customHeight="1" x14ac:dyDescent="0.15">
      <c r="A44" s="9" t="s">
        <v>108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5.75" customHeight="1" x14ac:dyDescent="0.15">
      <c r="B45" s="2" t="s">
        <v>109</v>
      </c>
      <c r="D45" s="2" t="s">
        <v>110</v>
      </c>
    </row>
    <row r="46" spans="1:26" ht="15.75" customHeight="1" x14ac:dyDescent="0.15">
      <c r="A46" s="4" t="s">
        <v>3</v>
      </c>
      <c r="B46" s="4" t="s">
        <v>82</v>
      </c>
      <c r="C46" s="4" t="s">
        <v>83</v>
      </c>
      <c r="D46" s="4" t="s">
        <v>82</v>
      </c>
      <c r="E46" s="4" t="s">
        <v>83</v>
      </c>
      <c r="F46" s="4" t="s">
        <v>82</v>
      </c>
      <c r="G46" s="4" t="s">
        <v>83</v>
      </c>
    </row>
    <row r="47" spans="1:26" ht="15.75" customHeight="1" x14ac:dyDescent="0.15">
      <c r="A47" s="2">
        <v>2.5</v>
      </c>
      <c r="B47" s="15">
        <v>52.748100000000001</v>
      </c>
      <c r="C47" s="19">
        <v>3.3690000000000002</v>
      </c>
      <c r="D47" s="2">
        <v>134.8947</v>
      </c>
      <c r="E47" s="2">
        <v>9.5039999999999996</v>
      </c>
      <c r="F47" s="2">
        <v>101.203</v>
      </c>
      <c r="G47" s="2">
        <v>6.9880000000000004</v>
      </c>
      <c r="H47" s="2">
        <f t="shared" ref="H47:H69" si="7">AVERAGE(G47,E47,C47)</f>
        <v>6.6203333333333338</v>
      </c>
      <c r="I47" s="2">
        <f t="shared" ref="I47:I69" si="8">STDEV(G47,E47,C47)</f>
        <v>3.0839812472408674</v>
      </c>
      <c r="J47" s="10">
        <f t="shared" ref="J47:J69" si="9">I47/H47</f>
        <v>0.465834738518836</v>
      </c>
    </row>
    <row r="48" spans="1:26" ht="15.75" customHeight="1" x14ac:dyDescent="0.15">
      <c r="A48" s="2">
        <v>5</v>
      </c>
      <c r="B48" s="15">
        <v>66.214299999999994</v>
      </c>
      <c r="C48" s="19">
        <v>4.375</v>
      </c>
      <c r="D48" s="2">
        <v>194.11689999999999</v>
      </c>
      <c r="E48" s="2">
        <v>13.927</v>
      </c>
      <c r="F48" s="2">
        <v>150.73490000000001</v>
      </c>
      <c r="G48" s="2">
        <v>10.686999999999999</v>
      </c>
      <c r="H48" s="2">
        <f t="shared" si="7"/>
        <v>9.6629999999999985</v>
      </c>
      <c r="I48" s="2">
        <f t="shared" si="8"/>
        <v>4.8576339919759262</v>
      </c>
      <c r="J48" s="10">
        <f t="shared" si="9"/>
        <v>0.50270454227216466</v>
      </c>
    </row>
    <row r="49" spans="1:13" ht="15.75" customHeight="1" x14ac:dyDescent="0.15">
      <c r="A49" s="2">
        <v>7.5</v>
      </c>
      <c r="B49" s="19">
        <v>95.873900000000006</v>
      </c>
      <c r="C49" s="19">
        <v>6.59</v>
      </c>
      <c r="D49" s="2">
        <v>232.5496</v>
      </c>
      <c r="E49" s="2">
        <v>16.797000000000001</v>
      </c>
      <c r="F49" s="2">
        <v>195.44200000000001</v>
      </c>
      <c r="G49" s="2">
        <v>14.026</v>
      </c>
      <c r="H49" s="2">
        <f t="shared" si="7"/>
        <v>12.470999999999998</v>
      </c>
      <c r="I49" s="2">
        <f t="shared" si="8"/>
        <v>5.2781844416427912</v>
      </c>
      <c r="J49" s="10">
        <f t="shared" si="9"/>
        <v>0.42323666439281471</v>
      </c>
    </row>
    <row r="50" spans="1:13" ht="15.75" customHeight="1" x14ac:dyDescent="0.15">
      <c r="A50" s="2">
        <v>10</v>
      </c>
      <c r="B50" s="19">
        <v>144.1225</v>
      </c>
      <c r="C50" s="19">
        <v>10.193</v>
      </c>
      <c r="D50" s="2">
        <v>287.31060000000002</v>
      </c>
      <c r="E50" s="2">
        <v>20.887</v>
      </c>
      <c r="F50" s="2">
        <v>231.29329999999999</v>
      </c>
      <c r="G50" s="2">
        <v>16.704000000000001</v>
      </c>
      <c r="H50" s="2">
        <f t="shared" si="7"/>
        <v>15.927999999999999</v>
      </c>
      <c r="I50" s="2">
        <f t="shared" si="8"/>
        <v>5.389066802332291</v>
      </c>
      <c r="J50" s="10">
        <f t="shared" si="9"/>
        <v>0.3383392015527556</v>
      </c>
      <c r="M50" s="2">
        <f>50/250</f>
        <v>0.2</v>
      </c>
    </row>
    <row r="51" spans="1:13" ht="15.75" customHeight="1" x14ac:dyDescent="0.15">
      <c r="A51" s="2">
        <v>15</v>
      </c>
      <c r="B51" s="19">
        <v>216.25470000000001</v>
      </c>
      <c r="C51" s="19">
        <v>15.58</v>
      </c>
      <c r="D51" s="2">
        <v>355.01510000000002</v>
      </c>
      <c r="E51" s="2">
        <v>25.943999999999999</v>
      </c>
      <c r="F51" s="2">
        <v>297.6893</v>
      </c>
      <c r="G51" s="2">
        <v>21.661999999999999</v>
      </c>
      <c r="H51" s="2">
        <f t="shared" si="7"/>
        <v>21.061999999999998</v>
      </c>
      <c r="I51" s="2">
        <f t="shared" si="8"/>
        <v>5.2079865591224586</v>
      </c>
      <c r="J51" s="10">
        <f t="shared" si="9"/>
        <v>0.24726932670793178</v>
      </c>
    </row>
    <row r="52" spans="1:13" ht="15.75" customHeight="1" x14ac:dyDescent="0.15">
      <c r="A52" s="2">
        <v>20</v>
      </c>
      <c r="B52" s="19">
        <v>271.84789999999998</v>
      </c>
      <c r="C52" s="19">
        <v>19.731999999999999</v>
      </c>
      <c r="D52" s="2">
        <v>411.18920000000003</v>
      </c>
      <c r="E52" s="2">
        <v>30.138999999999999</v>
      </c>
      <c r="F52" s="2">
        <v>348.53289999999998</v>
      </c>
      <c r="G52" s="2">
        <v>25.459</v>
      </c>
      <c r="H52" s="2">
        <f t="shared" si="7"/>
        <v>25.11</v>
      </c>
      <c r="I52" s="2">
        <f t="shared" si="8"/>
        <v>5.2122704265991233</v>
      </c>
      <c r="J52" s="10">
        <f t="shared" si="9"/>
        <v>0.20757747616882213</v>
      </c>
    </row>
    <row r="53" spans="1:13" ht="15.75" customHeight="1" x14ac:dyDescent="0.15">
      <c r="A53" s="2">
        <v>25</v>
      </c>
      <c r="B53" s="15">
        <v>317.75900000000001</v>
      </c>
      <c r="C53" s="19">
        <v>23.161000000000001</v>
      </c>
      <c r="D53" s="2">
        <v>465.70299999999997</v>
      </c>
      <c r="E53" s="2">
        <v>34.21</v>
      </c>
      <c r="F53" s="2">
        <v>392.26900000000001</v>
      </c>
      <c r="G53" s="2">
        <v>28.725999999999999</v>
      </c>
      <c r="H53" s="2">
        <f t="shared" si="7"/>
        <v>28.699000000000002</v>
      </c>
      <c r="I53" s="2">
        <f t="shared" si="8"/>
        <v>5.5245494838945968</v>
      </c>
      <c r="J53" s="10">
        <f t="shared" si="9"/>
        <v>0.19249972068345922</v>
      </c>
    </row>
    <row r="54" spans="1:13" ht="15.75" customHeight="1" x14ac:dyDescent="0.15">
      <c r="A54" s="2">
        <v>30</v>
      </c>
      <c r="B54" s="15">
        <v>364.37799999999999</v>
      </c>
      <c r="C54" s="19">
        <v>26.643000000000001</v>
      </c>
      <c r="D54" s="2">
        <v>502.57690000000002</v>
      </c>
      <c r="E54" s="2">
        <v>36.963999999999999</v>
      </c>
      <c r="F54" s="2">
        <v>431.60719999999998</v>
      </c>
      <c r="G54" s="2">
        <v>31.664000000000001</v>
      </c>
      <c r="H54" s="2">
        <f t="shared" si="7"/>
        <v>31.757000000000001</v>
      </c>
      <c r="I54" s="2">
        <f t="shared" si="8"/>
        <v>5.1611284618772943</v>
      </c>
      <c r="J54" s="10">
        <f t="shared" si="9"/>
        <v>0.16251939609778299</v>
      </c>
    </row>
    <row r="55" spans="1:13" ht="15.75" customHeight="1" x14ac:dyDescent="0.15">
      <c r="A55" s="2">
        <v>40</v>
      </c>
      <c r="B55" s="15">
        <v>444.71080000000001</v>
      </c>
      <c r="C55" s="19">
        <v>32.642000000000003</v>
      </c>
      <c r="D55" s="2">
        <v>563.30340000000001</v>
      </c>
      <c r="E55" s="2">
        <v>41.499000000000002</v>
      </c>
      <c r="F55" s="2">
        <v>487.92039999999997</v>
      </c>
      <c r="G55" s="2">
        <v>35.869</v>
      </c>
      <c r="H55" s="2">
        <f t="shared" si="7"/>
        <v>36.669999999999995</v>
      </c>
      <c r="I55" s="2">
        <f t="shared" si="8"/>
        <v>4.4825007529279901</v>
      </c>
      <c r="J55" s="10">
        <f t="shared" si="9"/>
        <v>0.12223890790640826</v>
      </c>
    </row>
    <row r="56" spans="1:13" ht="15.75" customHeight="1" x14ac:dyDescent="0.15">
      <c r="A56" s="2">
        <v>50</v>
      </c>
      <c r="B56" s="15">
        <v>512.14829999999995</v>
      </c>
      <c r="C56" s="19">
        <v>37.679000000000002</v>
      </c>
      <c r="D56" s="2">
        <v>636.49630000000002</v>
      </c>
      <c r="E56" s="2">
        <v>46.965000000000003</v>
      </c>
      <c r="F56" s="2">
        <v>539.39599999999996</v>
      </c>
      <c r="G56" s="2">
        <v>39.713999999999999</v>
      </c>
      <c r="H56" s="2">
        <f t="shared" si="7"/>
        <v>41.452666666666666</v>
      </c>
      <c r="I56" s="2">
        <f t="shared" si="8"/>
        <v>4.8810521748218738</v>
      </c>
      <c r="J56" s="10">
        <f t="shared" si="9"/>
        <v>0.11775001627933564</v>
      </c>
    </row>
    <row r="57" spans="1:13" ht="15.75" customHeight="1" x14ac:dyDescent="0.15">
      <c r="A57" s="2">
        <v>60</v>
      </c>
      <c r="B57" s="15">
        <v>592.4153</v>
      </c>
      <c r="C57" s="19">
        <v>43.673000000000002</v>
      </c>
      <c r="D57" s="2">
        <v>660.03380000000004</v>
      </c>
      <c r="E57" s="2">
        <v>48.722999999999999</v>
      </c>
      <c r="F57" s="2">
        <v>629.59320000000002</v>
      </c>
      <c r="G57" s="2">
        <v>46.45</v>
      </c>
      <c r="H57" s="2">
        <f t="shared" si="7"/>
        <v>46.282000000000004</v>
      </c>
      <c r="I57" s="2">
        <f t="shared" si="8"/>
        <v>2.529188209683098</v>
      </c>
      <c r="J57" s="10">
        <f t="shared" si="9"/>
        <v>5.464734042787904E-2</v>
      </c>
    </row>
    <row r="58" spans="1:13" ht="15.75" customHeight="1" x14ac:dyDescent="0.15">
      <c r="A58" s="2">
        <v>75</v>
      </c>
      <c r="B58" s="15">
        <v>665.18709999999999</v>
      </c>
      <c r="C58" s="19">
        <v>49.107999999999997</v>
      </c>
      <c r="D58" s="2">
        <v>722.68920000000003</v>
      </c>
      <c r="E58" s="2">
        <v>53.402999999999999</v>
      </c>
      <c r="F58" s="2">
        <v>749.52329999999995</v>
      </c>
      <c r="G58" s="2">
        <v>55.406999999999996</v>
      </c>
      <c r="H58" s="2">
        <f t="shared" si="7"/>
        <v>52.639333333333333</v>
      </c>
      <c r="I58" s="2">
        <f t="shared" si="8"/>
        <v>3.2181889834708794</v>
      </c>
      <c r="J58" s="10">
        <f t="shared" si="9"/>
        <v>6.1136583229350921E-2</v>
      </c>
    </row>
    <row r="59" spans="1:13" ht="15.75" customHeight="1" x14ac:dyDescent="0.15">
      <c r="A59" s="2">
        <v>90</v>
      </c>
      <c r="B59" s="15">
        <v>717.30579999999998</v>
      </c>
      <c r="C59" s="19">
        <v>53.000999999999998</v>
      </c>
      <c r="D59" s="2">
        <v>778.2586</v>
      </c>
      <c r="E59" s="2">
        <v>57.552999999999997</v>
      </c>
      <c r="F59" s="2">
        <v>821.28129999999999</v>
      </c>
      <c r="G59" s="2">
        <v>60.765999999999998</v>
      </c>
      <c r="H59" s="2">
        <f t="shared" si="7"/>
        <v>57.106666666666662</v>
      </c>
      <c r="I59" s="2">
        <f t="shared" si="8"/>
        <v>3.9016940337926722</v>
      </c>
      <c r="J59" s="10">
        <f t="shared" si="9"/>
        <v>6.8322916771994036E-2</v>
      </c>
    </row>
    <row r="60" spans="1:13" ht="15.75" customHeight="1" x14ac:dyDescent="0.15">
      <c r="A60" s="2">
        <v>105</v>
      </c>
      <c r="B60" s="15">
        <v>780.63400000000001</v>
      </c>
      <c r="C60" s="19">
        <v>57.73</v>
      </c>
      <c r="D60" s="2">
        <v>820.2604</v>
      </c>
      <c r="E60" s="2">
        <v>60.69</v>
      </c>
      <c r="F60" s="2">
        <v>884.93790000000001</v>
      </c>
      <c r="G60" s="2">
        <v>65.52</v>
      </c>
      <c r="H60" s="2">
        <f t="shared" si="7"/>
        <v>61.313333333333333</v>
      </c>
      <c r="I60" s="2">
        <f t="shared" si="8"/>
        <v>3.9322300712615137</v>
      </c>
      <c r="J60" s="10">
        <f t="shared" si="9"/>
        <v>6.4133359866176701E-2</v>
      </c>
    </row>
    <row r="61" spans="1:13" ht="15.75" customHeight="1" x14ac:dyDescent="0.15">
      <c r="A61" s="2">
        <v>120</v>
      </c>
      <c r="B61" s="15">
        <v>839.63099999999997</v>
      </c>
      <c r="C61" s="19">
        <v>62.136000000000003</v>
      </c>
      <c r="D61" s="2">
        <v>854.67309999999998</v>
      </c>
      <c r="E61" s="2">
        <v>63.26</v>
      </c>
      <c r="F61" s="2">
        <v>983.09360000000004</v>
      </c>
      <c r="G61" s="2">
        <v>72.849999999999994</v>
      </c>
      <c r="H61" s="2">
        <f t="shared" si="7"/>
        <v>66.081999999999994</v>
      </c>
      <c r="I61" s="2">
        <f t="shared" si="8"/>
        <v>5.8881416423180548</v>
      </c>
      <c r="J61" s="10">
        <f t="shared" si="9"/>
        <v>8.9103562881239301E-2</v>
      </c>
    </row>
    <row r="62" spans="1:13" ht="15.75" customHeight="1" x14ac:dyDescent="0.15">
      <c r="A62" s="2">
        <v>135</v>
      </c>
      <c r="B62" s="15">
        <v>886.10209999999995</v>
      </c>
      <c r="C62" s="19">
        <v>65.606999999999999</v>
      </c>
      <c r="D62" s="2">
        <v>907.10519999999997</v>
      </c>
      <c r="E62" s="2">
        <v>67.174999999999997</v>
      </c>
      <c r="F62" s="2">
        <v>1021.1032</v>
      </c>
      <c r="G62" s="2">
        <v>75.688999999999993</v>
      </c>
      <c r="H62" s="2">
        <f t="shared" si="7"/>
        <v>69.490333333333325</v>
      </c>
      <c r="I62" s="2">
        <f t="shared" si="8"/>
        <v>5.4251504433824964</v>
      </c>
      <c r="J62" s="10">
        <f t="shared" si="9"/>
        <v>7.8070577347196926E-2</v>
      </c>
    </row>
    <row r="63" spans="1:13" ht="15.75" customHeight="1" x14ac:dyDescent="0.15">
      <c r="A63" s="2">
        <v>150</v>
      </c>
      <c r="B63" s="15">
        <v>914.94740000000002</v>
      </c>
      <c r="C63" s="19">
        <v>67.760999999999996</v>
      </c>
      <c r="D63" s="2">
        <v>938.47029999999995</v>
      </c>
      <c r="E63" s="2">
        <v>69.518000000000001</v>
      </c>
      <c r="F63" s="2">
        <v>1080.4484</v>
      </c>
      <c r="G63" s="2">
        <v>80.120999999999995</v>
      </c>
      <c r="H63" s="2">
        <f t="shared" si="7"/>
        <v>72.466666666666669</v>
      </c>
      <c r="I63" s="2">
        <f t="shared" si="8"/>
        <v>6.6868061384590263</v>
      </c>
      <c r="J63" s="10">
        <f t="shared" si="9"/>
        <v>9.2274233741384909E-2</v>
      </c>
    </row>
    <row r="64" spans="1:13" ht="15.75" customHeight="1" x14ac:dyDescent="0.15">
      <c r="A64" s="2">
        <v>165</v>
      </c>
      <c r="B64" s="15">
        <v>976.23919999999998</v>
      </c>
      <c r="C64" s="19">
        <v>72.337999999999994</v>
      </c>
      <c r="D64" s="2">
        <v>986.10850000000005</v>
      </c>
      <c r="E64" s="2">
        <v>73.075999999999993</v>
      </c>
      <c r="F64" s="2">
        <v>1129.173</v>
      </c>
      <c r="G64" s="2">
        <v>83.76</v>
      </c>
      <c r="H64" s="2">
        <f t="shared" si="7"/>
        <v>76.391333333333336</v>
      </c>
      <c r="I64" s="2">
        <f t="shared" si="8"/>
        <v>6.3921121183325171</v>
      </c>
      <c r="J64" s="10">
        <f t="shared" si="9"/>
        <v>8.3675881011796932E-2</v>
      </c>
    </row>
    <row r="65" spans="1:26" ht="15.75" customHeight="1" x14ac:dyDescent="0.15">
      <c r="A65" s="2">
        <v>180</v>
      </c>
      <c r="B65" s="15">
        <v>1007.4704</v>
      </c>
      <c r="C65" s="19">
        <v>74.671000000000006</v>
      </c>
      <c r="D65" s="2">
        <v>1021.9039</v>
      </c>
      <c r="E65" s="2">
        <v>75.748999999999995</v>
      </c>
      <c r="F65" s="2">
        <v>1167.8857</v>
      </c>
      <c r="G65" s="2">
        <v>86.650999999999996</v>
      </c>
      <c r="H65" s="2">
        <f t="shared" si="7"/>
        <v>79.023666666666657</v>
      </c>
      <c r="I65" s="2">
        <f t="shared" si="8"/>
        <v>6.6274189043196365</v>
      </c>
      <c r="J65" s="10">
        <f t="shared" si="9"/>
        <v>8.3866254046082875E-2</v>
      </c>
    </row>
    <row r="66" spans="1:26" ht="15.75" customHeight="1" x14ac:dyDescent="0.15">
      <c r="A66" s="2">
        <v>195</v>
      </c>
      <c r="B66" s="15">
        <v>1042.1882000000001</v>
      </c>
      <c r="C66" s="19">
        <v>77.263999999999996</v>
      </c>
      <c r="D66" s="2">
        <v>1054.2319</v>
      </c>
      <c r="E66" s="2">
        <v>78.162999999999997</v>
      </c>
      <c r="F66" s="2">
        <v>1217.5598</v>
      </c>
      <c r="G66" s="2">
        <v>90.361000000000004</v>
      </c>
      <c r="H66" s="2">
        <f t="shared" si="7"/>
        <v>81.929333333333332</v>
      </c>
      <c r="I66" s="2">
        <f t="shared" si="8"/>
        <v>7.3158596441794455</v>
      </c>
      <c r="J66" s="10">
        <f t="shared" si="9"/>
        <v>8.9294753741184826E-2</v>
      </c>
    </row>
    <row r="67" spans="1:26" ht="15.75" customHeight="1" x14ac:dyDescent="0.15">
      <c r="A67" s="2">
        <v>210</v>
      </c>
      <c r="B67" s="15">
        <v>1062.4276</v>
      </c>
      <c r="C67" s="19">
        <v>78.775000000000006</v>
      </c>
      <c r="D67" s="2">
        <v>1056.5283999999999</v>
      </c>
      <c r="E67" s="2">
        <v>78.334999999999994</v>
      </c>
      <c r="F67" s="2">
        <v>1245.6832999999999</v>
      </c>
      <c r="G67" s="2">
        <v>92.460999999999999</v>
      </c>
      <c r="H67" s="2">
        <f t="shared" si="7"/>
        <v>83.190333333333328</v>
      </c>
      <c r="I67" s="2">
        <f t="shared" si="8"/>
        <v>8.0316464895644728</v>
      </c>
      <c r="J67" s="10">
        <f t="shared" si="9"/>
        <v>9.6545429832366025E-2</v>
      </c>
    </row>
    <row r="68" spans="1:26" ht="15.75" customHeight="1" x14ac:dyDescent="0.15">
      <c r="A68" s="2">
        <v>225</v>
      </c>
      <c r="B68" s="15">
        <v>1119.0944999999999</v>
      </c>
      <c r="C68" s="19">
        <v>83.007000000000005</v>
      </c>
      <c r="D68" s="2">
        <v>1123.8987999999999</v>
      </c>
      <c r="E68" s="2">
        <v>83.366</v>
      </c>
      <c r="F68" s="2">
        <v>1312.6161999999999</v>
      </c>
      <c r="G68" s="2">
        <v>97.46</v>
      </c>
      <c r="H68" s="2">
        <f t="shared" si="7"/>
        <v>87.944333333333319</v>
      </c>
      <c r="I68" s="2">
        <f t="shared" si="8"/>
        <v>8.2427637557637947</v>
      </c>
      <c r="J68" s="10">
        <f t="shared" si="9"/>
        <v>9.3727059417477679E-2</v>
      </c>
    </row>
    <row r="69" spans="1:26" ht="15.75" customHeight="1" x14ac:dyDescent="0.15">
      <c r="A69" s="2">
        <v>240</v>
      </c>
      <c r="B69" s="15">
        <v>1158.8646000000001</v>
      </c>
      <c r="C69" s="19">
        <v>85.977999999999994</v>
      </c>
      <c r="D69" s="2">
        <v>1153.6321</v>
      </c>
      <c r="E69" s="2">
        <v>85.587000000000003</v>
      </c>
      <c r="F69" s="2">
        <v>1326.2863</v>
      </c>
      <c r="G69" s="2">
        <v>98.480999999999995</v>
      </c>
      <c r="H69" s="2">
        <f t="shared" si="7"/>
        <v>90.015333333333331</v>
      </c>
      <c r="I69" s="2">
        <f t="shared" si="8"/>
        <v>7.3340885141463419</v>
      </c>
      <c r="J69" s="10">
        <f t="shared" si="9"/>
        <v>8.1475991284592347E-2</v>
      </c>
      <c r="K69" s="2">
        <f>H69/200</f>
        <v>0.45007666666666668</v>
      </c>
    </row>
    <row r="71" spans="1:26" ht="15.75" customHeight="1" x14ac:dyDescent="0.15">
      <c r="A71" s="2" t="s">
        <v>111</v>
      </c>
    </row>
    <row r="72" spans="1:26" ht="15.75" customHeight="1" x14ac:dyDescent="0.15">
      <c r="A72" s="2" t="s">
        <v>112</v>
      </c>
    </row>
    <row r="74" spans="1:26" ht="15.75" customHeight="1" x14ac:dyDescent="0.15">
      <c r="A74" s="9" t="s">
        <v>113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15.75" customHeight="1" x14ac:dyDescent="0.15">
      <c r="A75" s="2" t="s">
        <v>114</v>
      </c>
    </row>
    <row r="76" spans="1:26" ht="15.75" customHeight="1" x14ac:dyDescent="0.15">
      <c r="A76" s="4" t="s">
        <v>3</v>
      </c>
      <c r="B76" s="4" t="s">
        <v>82</v>
      </c>
      <c r="C76" s="4" t="s">
        <v>83</v>
      </c>
      <c r="E76" s="2" t="s">
        <v>115</v>
      </c>
    </row>
    <row r="77" spans="1:26" ht="15.75" customHeight="1" x14ac:dyDescent="0.15">
      <c r="A77" s="2">
        <v>2.5</v>
      </c>
      <c r="B77" s="15">
        <v>204.93899999999999</v>
      </c>
      <c r="C77" s="19">
        <v>14.37</v>
      </c>
    </row>
    <row r="78" spans="1:26" ht="15.75" customHeight="1" x14ac:dyDescent="0.15">
      <c r="A78" s="2">
        <v>5</v>
      </c>
      <c r="B78" s="15">
        <v>475.12880000000001</v>
      </c>
      <c r="C78" s="19">
        <v>33.738</v>
      </c>
      <c r="F78" s="2" t="s">
        <v>63</v>
      </c>
      <c r="G78" s="2" t="s">
        <v>61</v>
      </c>
    </row>
    <row r="79" spans="1:26" ht="15.75" customHeight="1" x14ac:dyDescent="0.15">
      <c r="A79" s="2">
        <v>7.5</v>
      </c>
      <c r="B79" s="19">
        <v>755.2944</v>
      </c>
      <c r="C79" s="19">
        <v>53.822000000000003</v>
      </c>
      <c r="E79" s="2" t="s">
        <v>64</v>
      </c>
      <c r="F79" s="2">
        <v>2.0790000000000002</v>
      </c>
    </row>
    <row r="80" spans="1:26" ht="15.75" customHeight="1" x14ac:dyDescent="0.15">
      <c r="A80" s="2">
        <v>10</v>
      </c>
      <c r="B80" s="19">
        <v>1031.5604000000001</v>
      </c>
      <c r="C80" s="19">
        <v>73.626000000000005</v>
      </c>
      <c r="E80" s="2" t="s">
        <v>65</v>
      </c>
      <c r="F80" s="2">
        <v>0.70899999999999996</v>
      </c>
    </row>
    <row r="81" spans="1:7" ht="13" x14ac:dyDescent="0.15">
      <c r="A81" s="2">
        <v>15</v>
      </c>
      <c r="B81" s="19">
        <v>1564.0514000000001</v>
      </c>
      <c r="C81" s="19">
        <v>111.797</v>
      </c>
      <c r="E81" s="2" t="s">
        <v>66</v>
      </c>
      <c r="F81" s="15">
        <v>4.3259999999999996</v>
      </c>
    </row>
    <row r="82" spans="1:7" ht="13" x14ac:dyDescent="0.15">
      <c r="A82" s="2">
        <v>20</v>
      </c>
      <c r="B82" s="19">
        <v>2006.3688</v>
      </c>
      <c r="C82" s="19">
        <v>143.50399999999999</v>
      </c>
      <c r="E82" s="2" t="s">
        <v>68</v>
      </c>
      <c r="F82" s="2">
        <v>1.0488</v>
      </c>
    </row>
    <row r="83" spans="1:7" ht="13" x14ac:dyDescent="0.15">
      <c r="A83" s="2">
        <v>25</v>
      </c>
      <c r="B83" s="15">
        <v>2358.5171</v>
      </c>
      <c r="C83" s="19">
        <v>168.74700000000001</v>
      </c>
      <c r="E83" s="2" t="s">
        <v>70</v>
      </c>
      <c r="F83" s="2">
        <v>2.9502999999999999</v>
      </c>
    </row>
    <row r="84" spans="1:7" ht="13" x14ac:dyDescent="0.15">
      <c r="A84" s="2">
        <v>30</v>
      </c>
      <c r="B84" s="15">
        <v>2616.5329999999999</v>
      </c>
      <c r="C84" s="19">
        <v>187.24299999999999</v>
      </c>
    </row>
    <row r="85" spans="1:7" ht="13" x14ac:dyDescent="0.15">
      <c r="A85" s="2">
        <v>40</v>
      </c>
      <c r="B85" s="15">
        <v>2958.0048999999999</v>
      </c>
      <c r="C85" s="19">
        <v>211.721</v>
      </c>
    </row>
    <row r="86" spans="1:7" ht="13" x14ac:dyDescent="0.15">
      <c r="A86" s="2">
        <v>50</v>
      </c>
      <c r="B86" s="15">
        <v>3054.4688000000001</v>
      </c>
      <c r="C86" s="19">
        <v>218.636</v>
      </c>
      <c r="E86" s="2" t="s">
        <v>73</v>
      </c>
      <c r="F86" s="2">
        <f>F87/1000</f>
        <v>0.25109999999999999</v>
      </c>
    </row>
    <row r="87" spans="1:7" ht="13" x14ac:dyDescent="0.15">
      <c r="A87" s="2">
        <v>60</v>
      </c>
      <c r="B87" s="15">
        <v>3147.4407000000001</v>
      </c>
      <c r="C87" s="19">
        <v>225.3</v>
      </c>
      <c r="F87" s="2">
        <v>251.1</v>
      </c>
      <c r="G87" s="2" t="s">
        <v>76</v>
      </c>
    </row>
    <row r="88" spans="1:7" ht="13" x14ac:dyDescent="0.15">
      <c r="A88" s="2">
        <v>75</v>
      </c>
      <c r="B88" s="15">
        <v>3203.7550999999999</v>
      </c>
      <c r="C88" s="19">
        <v>229.33699999999999</v>
      </c>
    </row>
    <row r="89" spans="1:7" ht="13" x14ac:dyDescent="0.15">
      <c r="A89" s="2">
        <v>90</v>
      </c>
      <c r="B89" s="15">
        <v>3233.0702999999999</v>
      </c>
      <c r="C89" s="19">
        <v>231.43899999999999</v>
      </c>
    </row>
    <row r="90" spans="1:7" ht="13" x14ac:dyDescent="0.15">
      <c r="A90" s="2">
        <v>105</v>
      </c>
      <c r="B90" s="15">
        <v>3230.6621</v>
      </c>
      <c r="C90" s="19">
        <v>231.26599999999999</v>
      </c>
    </row>
    <row r="91" spans="1:7" ht="13" x14ac:dyDescent="0.15">
      <c r="A91" s="2">
        <v>120</v>
      </c>
      <c r="B91" s="15">
        <v>3227.3384000000001</v>
      </c>
      <c r="C91" s="19">
        <v>231.02799999999999</v>
      </c>
    </row>
    <row r="92" spans="1:7" ht="13" x14ac:dyDescent="0.15">
      <c r="A92" s="2">
        <v>135</v>
      </c>
      <c r="B92" s="15">
        <v>3252.9395</v>
      </c>
      <c r="C92" s="19">
        <v>232.863</v>
      </c>
    </row>
    <row r="93" spans="1:7" ht="13" x14ac:dyDescent="0.15">
      <c r="A93" s="2">
        <v>150</v>
      </c>
      <c r="B93" s="15">
        <v>3237.6334999999999</v>
      </c>
      <c r="C93" s="19">
        <v>231.76599999999999</v>
      </c>
    </row>
    <row r="94" spans="1:7" ht="13" x14ac:dyDescent="0.15">
      <c r="A94" s="2">
        <v>165</v>
      </c>
      <c r="B94" s="15">
        <v>3252.5774000000001</v>
      </c>
      <c r="C94" s="19">
        <v>232.83699999999999</v>
      </c>
    </row>
    <row r="95" spans="1:7" ht="13" x14ac:dyDescent="0.15">
      <c r="A95" s="2">
        <v>180</v>
      </c>
      <c r="B95" s="15">
        <v>3248.8544999999999</v>
      </c>
      <c r="C95" s="19">
        <v>232.57</v>
      </c>
    </row>
    <row r="96" spans="1:7" ht="13" x14ac:dyDescent="0.15">
      <c r="A96" s="2">
        <v>195</v>
      </c>
      <c r="B96" s="15">
        <v>3253.4762999999998</v>
      </c>
      <c r="C96" s="19">
        <v>232.90100000000001</v>
      </c>
    </row>
    <row r="97" spans="1:26" ht="13" x14ac:dyDescent="0.15">
      <c r="A97" s="2">
        <v>210</v>
      </c>
      <c r="B97" s="15">
        <v>3273.3703999999998</v>
      </c>
      <c r="C97" s="19">
        <v>234.327</v>
      </c>
    </row>
    <row r="98" spans="1:26" ht="13" x14ac:dyDescent="0.15">
      <c r="A98" s="2">
        <v>225</v>
      </c>
      <c r="B98" s="15">
        <v>3237.5120000000002</v>
      </c>
      <c r="C98" s="19">
        <v>231.75700000000001</v>
      </c>
    </row>
    <row r="99" spans="1:26" ht="13" x14ac:dyDescent="0.15">
      <c r="A99" s="2">
        <v>240</v>
      </c>
      <c r="B99" s="15">
        <v>3242.3225000000002</v>
      </c>
      <c r="C99" s="19">
        <v>232.102</v>
      </c>
    </row>
    <row r="102" spans="1:26" ht="13" x14ac:dyDescent="0.15">
      <c r="A102" s="9" t="s">
        <v>116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3" x14ac:dyDescent="0.15">
      <c r="A103" s="2" t="s">
        <v>117</v>
      </c>
    </row>
    <row r="108" spans="1:26" ht="13" x14ac:dyDescent="0.15">
      <c r="A108" s="4" t="s">
        <v>3</v>
      </c>
      <c r="B108" s="4" t="s">
        <v>82</v>
      </c>
      <c r="C108" s="4" t="s">
        <v>83</v>
      </c>
      <c r="D108" s="4" t="s">
        <v>82</v>
      </c>
      <c r="E108" s="4" t="s">
        <v>83</v>
      </c>
      <c r="F108" s="4" t="s">
        <v>82</v>
      </c>
      <c r="G108" s="4" t="s">
        <v>83</v>
      </c>
    </row>
    <row r="109" spans="1:26" ht="13" x14ac:dyDescent="0.15">
      <c r="A109" s="2">
        <v>2.5</v>
      </c>
      <c r="B109" s="15">
        <v>7.3026999999999997</v>
      </c>
      <c r="C109" s="19">
        <v>0</v>
      </c>
      <c r="H109" s="2">
        <f t="shared" ref="H109:H131" si="10">AVERAGE(G109,E109,C109)</f>
        <v>0</v>
      </c>
      <c r="I109" s="2" t="e">
        <f t="shared" ref="I109:I131" si="11">STDEV(G109,E109,C109)</f>
        <v>#DIV/0!</v>
      </c>
      <c r="J109" s="10" t="e">
        <f t="shared" ref="J109:J131" si="12">I109/H109</f>
        <v>#DIV/0!</v>
      </c>
    </row>
    <row r="110" spans="1:26" ht="13" x14ac:dyDescent="0.15">
      <c r="A110" s="2">
        <v>5</v>
      </c>
      <c r="B110" s="15">
        <v>19.224399999999999</v>
      </c>
      <c r="C110" s="19">
        <v>0.53900000000000003</v>
      </c>
      <c r="H110" s="2">
        <f t="shared" si="10"/>
        <v>0.53900000000000003</v>
      </c>
      <c r="I110" s="2" t="e">
        <f t="shared" si="11"/>
        <v>#DIV/0!</v>
      </c>
      <c r="J110" s="10" t="e">
        <f t="shared" si="12"/>
        <v>#DIV/0!</v>
      </c>
    </row>
    <row r="111" spans="1:26" ht="13" x14ac:dyDescent="0.15">
      <c r="A111" s="2">
        <v>7.5</v>
      </c>
      <c r="B111" s="19">
        <v>29.919699999999999</v>
      </c>
      <c r="C111" s="19">
        <v>1.353</v>
      </c>
      <c r="H111" s="2">
        <f t="shared" si="10"/>
        <v>1.353</v>
      </c>
      <c r="I111" s="2" t="e">
        <f t="shared" si="11"/>
        <v>#DIV/0!</v>
      </c>
      <c r="J111" s="10" t="e">
        <f t="shared" si="12"/>
        <v>#DIV/0!</v>
      </c>
    </row>
    <row r="112" spans="1:26" ht="13" x14ac:dyDescent="0.15">
      <c r="A112" s="2">
        <v>10</v>
      </c>
      <c r="B112" s="19">
        <v>35.264699999999998</v>
      </c>
      <c r="C112" s="19">
        <v>1.76</v>
      </c>
      <c r="H112" s="2">
        <f t="shared" si="10"/>
        <v>1.76</v>
      </c>
      <c r="I112" s="2" t="e">
        <f t="shared" si="11"/>
        <v>#DIV/0!</v>
      </c>
      <c r="J112" s="10" t="e">
        <f t="shared" si="12"/>
        <v>#DIV/0!</v>
      </c>
    </row>
    <row r="113" spans="1:10" ht="13" x14ac:dyDescent="0.15">
      <c r="A113" s="2">
        <v>15</v>
      </c>
      <c r="B113" s="19">
        <v>60.207500000000003</v>
      </c>
      <c r="C113" s="19">
        <v>3.6579999999999999</v>
      </c>
      <c r="H113" s="2">
        <f t="shared" si="10"/>
        <v>3.6579999999999999</v>
      </c>
      <c r="I113" s="2" t="e">
        <f t="shared" si="11"/>
        <v>#DIV/0!</v>
      </c>
      <c r="J113" s="10" t="e">
        <f t="shared" si="12"/>
        <v>#DIV/0!</v>
      </c>
    </row>
    <row r="114" spans="1:10" ht="13" x14ac:dyDescent="0.15">
      <c r="A114" s="2">
        <v>20</v>
      </c>
      <c r="B114" s="19">
        <v>70.425899999999999</v>
      </c>
      <c r="C114" s="19">
        <v>4.4359999999999999</v>
      </c>
      <c r="H114" s="2">
        <f t="shared" si="10"/>
        <v>4.4359999999999999</v>
      </c>
      <c r="I114" s="2" t="e">
        <f t="shared" si="11"/>
        <v>#DIV/0!</v>
      </c>
      <c r="J114" s="10" t="e">
        <f t="shared" si="12"/>
        <v>#DIV/0!</v>
      </c>
    </row>
    <row r="115" spans="1:10" ht="13" x14ac:dyDescent="0.15">
      <c r="A115" s="2">
        <v>25</v>
      </c>
      <c r="B115" s="15">
        <v>76.282200000000003</v>
      </c>
      <c r="C115" s="19">
        <v>4.8819999999999997</v>
      </c>
      <c r="H115" s="2">
        <f t="shared" si="10"/>
        <v>4.8819999999999997</v>
      </c>
      <c r="I115" s="2" t="e">
        <f t="shared" si="11"/>
        <v>#DIV/0!</v>
      </c>
      <c r="J115" s="10" t="e">
        <f t="shared" si="12"/>
        <v>#DIV/0!</v>
      </c>
    </row>
    <row r="116" spans="1:10" ht="13" x14ac:dyDescent="0.15">
      <c r="A116" s="2">
        <v>30</v>
      </c>
      <c r="B116" s="15">
        <v>87.214399999999998</v>
      </c>
      <c r="C116" s="19">
        <v>5.7140000000000004</v>
      </c>
      <c r="H116" s="2">
        <f t="shared" si="10"/>
        <v>5.7140000000000004</v>
      </c>
      <c r="I116" s="2" t="e">
        <f t="shared" si="11"/>
        <v>#DIV/0!</v>
      </c>
      <c r="J116" s="10" t="e">
        <f t="shared" si="12"/>
        <v>#DIV/0!</v>
      </c>
    </row>
    <row r="117" spans="1:10" ht="13" x14ac:dyDescent="0.15">
      <c r="A117" s="2">
        <v>40</v>
      </c>
      <c r="B117" s="15">
        <v>104.1429</v>
      </c>
      <c r="C117" s="19">
        <v>7.0019999999999998</v>
      </c>
      <c r="H117" s="2">
        <f t="shared" si="10"/>
        <v>7.0019999999999998</v>
      </c>
      <c r="I117" s="2" t="e">
        <f t="shared" si="11"/>
        <v>#DIV/0!</v>
      </c>
      <c r="J117" s="10" t="e">
        <f t="shared" si="12"/>
        <v>#DIV/0!</v>
      </c>
    </row>
    <row r="118" spans="1:10" ht="13" x14ac:dyDescent="0.15">
      <c r="A118" s="2">
        <v>50</v>
      </c>
      <c r="B118" s="15">
        <v>138.3219</v>
      </c>
      <c r="C118" s="19">
        <v>9.6039999999999992</v>
      </c>
      <c r="H118" s="2">
        <f t="shared" si="10"/>
        <v>9.6039999999999992</v>
      </c>
      <c r="I118" s="2" t="e">
        <f t="shared" si="11"/>
        <v>#DIV/0!</v>
      </c>
      <c r="J118" s="10" t="e">
        <f t="shared" si="12"/>
        <v>#DIV/0!</v>
      </c>
    </row>
    <row r="119" spans="1:10" ht="13" x14ac:dyDescent="0.15">
      <c r="A119" s="2">
        <v>60</v>
      </c>
      <c r="B119" s="15">
        <v>164.95920000000001</v>
      </c>
      <c r="C119" s="19">
        <v>11.632</v>
      </c>
      <c r="H119" s="2">
        <f t="shared" si="10"/>
        <v>11.632</v>
      </c>
      <c r="I119" s="2" t="e">
        <f t="shared" si="11"/>
        <v>#DIV/0!</v>
      </c>
      <c r="J119" s="10" t="e">
        <f t="shared" si="12"/>
        <v>#DIV/0!</v>
      </c>
    </row>
    <row r="120" spans="1:10" ht="13" x14ac:dyDescent="0.15">
      <c r="A120" s="2">
        <v>75</v>
      </c>
      <c r="B120" s="15">
        <v>218.12719999999999</v>
      </c>
      <c r="C120" s="19">
        <v>15.679</v>
      </c>
      <c r="H120" s="2">
        <f t="shared" si="10"/>
        <v>15.679</v>
      </c>
      <c r="I120" s="2" t="e">
        <f t="shared" si="11"/>
        <v>#DIV/0!</v>
      </c>
      <c r="J120" s="10" t="e">
        <f t="shared" si="12"/>
        <v>#DIV/0!</v>
      </c>
    </row>
    <row r="121" spans="1:10" ht="13" x14ac:dyDescent="0.15">
      <c r="A121" s="2">
        <v>90</v>
      </c>
      <c r="B121" s="15">
        <v>276.25880000000001</v>
      </c>
      <c r="C121" s="19">
        <v>20.103000000000002</v>
      </c>
      <c r="H121" s="2">
        <f t="shared" si="10"/>
        <v>20.103000000000002</v>
      </c>
      <c r="I121" s="2" t="e">
        <f t="shared" si="11"/>
        <v>#DIV/0!</v>
      </c>
      <c r="J121" s="10" t="e">
        <f t="shared" si="12"/>
        <v>#DIV/0!</v>
      </c>
    </row>
    <row r="122" spans="1:10" ht="13" x14ac:dyDescent="0.15">
      <c r="A122" s="2">
        <v>105</v>
      </c>
      <c r="B122" s="15">
        <v>348.9708</v>
      </c>
      <c r="C122" s="19">
        <v>25.638000000000002</v>
      </c>
      <c r="H122" s="2">
        <f t="shared" si="10"/>
        <v>25.638000000000002</v>
      </c>
      <c r="I122" s="2" t="e">
        <f t="shared" si="11"/>
        <v>#DIV/0!</v>
      </c>
      <c r="J122" s="10" t="e">
        <f t="shared" si="12"/>
        <v>#DIV/0!</v>
      </c>
    </row>
    <row r="123" spans="1:10" ht="13" x14ac:dyDescent="0.15">
      <c r="A123" s="2">
        <v>120</v>
      </c>
      <c r="B123" s="15">
        <v>399.54259999999999</v>
      </c>
      <c r="C123" s="19">
        <v>29.486999999999998</v>
      </c>
      <c r="H123" s="2">
        <f t="shared" si="10"/>
        <v>29.486999999999998</v>
      </c>
      <c r="I123" s="2" t="e">
        <f t="shared" si="11"/>
        <v>#DIV/0!</v>
      </c>
      <c r="J123" s="10" t="e">
        <f t="shared" si="12"/>
        <v>#DIV/0!</v>
      </c>
    </row>
    <row r="124" spans="1:10" ht="13" x14ac:dyDescent="0.15">
      <c r="A124" s="2">
        <v>135</v>
      </c>
      <c r="B124" s="15">
        <v>453.91070000000002</v>
      </c>
      <c r="C124" s="19">
        <v>33.625999999999998</v>
      </c>
      <c r="H124" s="2">
        <f t="shared" si="10"/>
        <v>33.625999999999998</v>
      </c>
      <c r="I124" s="2" t="e">
        <f t="shared" si="11"/>
        <v>#DIV/0!</v>
      </c>
      <c r="J124" s="10" t="e">
        <f t="shared" si="12"/>
        <v>#DIV/0!</v>
      </c>
    </row>
    <row r="125" spans="1:10" ht="13" x14ac:dyDescent="0.15">
      <c r="A125" s="2">
        <v>150</v>
      </c>
      <c r="B125" s="15">
        <v>518.19420000000002</v>
      </c>
      <c r="C125" s="19">
        <v>38.518999999999998</v>
      </c>
      <c r="H125" s="2">
        <f t="shared" si="10"/>
        <v>38.518999999999998</v>
      </c>
      <c r="I125" s="2" t="e">
        <f t="shared" si="11"/>
        <v>#DIV/0!</v>
      </c>
      <c r="J125" s="10" t="e">
        <f t="shared" si="12"/>
        <v>#DIV/0!</v>
      </c>
    </row>
    <row r="126" spans="1:10" ht="13" x14ac:dyDescent="0.15">
      <c r="A126" s="2">
        <v>165</v>
      </c>
      <c r="B126" s="15">
        <v>568.03629999999998</v>
      </c>
      <c r="C126" s="19">
        <v>42.311999999999998</v>
      </c>
      <c r="H126" s="2">
        <f t="shared" si="10"/>
        <v>42.311999999999998</v>
      </c>
      <c r="I126" s="2" t="e">
        <f t="shared" si="11"/>
        <v>#DIV/0!</v>
      </c>
      <c r="J126" s="10" t="e">
        <f t="shared" si="12"/>
        <v>#DIV/0!</v>
      </c>
    </row>
    <row r="127" spans="1:10" ht="13" x14ac:dyDescent="0.15">
      <c r="A127" s="2">
        <v>180</v>
      </c>
      <c r="B127" s="15">
        <v>607.54930000000002</v>
      </c>
      <c r="C127" s="19">
        <v>45.32</v>
      </c>
      <c r="H127" s="2">
        <f t="shared" si="10"/>
        <v>45.32</v>
      </c>
      <c r="I127" s="2" t="e">
        <f t="shared" si="11"/>
        <v>#DIV/0!</v>
      </c>
      <c r="J127" s="10" t="e">
        <f t="shared" si="12"/>
        <v>#DIV/0!</v>
      </c>
    </row>
    <row r="128" spans="1:10" ht="13" x14ac:dyDescent="0.15">
      <c r="A128" s="2">
        <v>195</v>
      </c>
      <c r="B128" s="15">
        <v>671.30960000000005</v>
      </c>
      <c r="C128" s="19">
        <v>50.173000000000002</v>
      </c>
      <c r="H128" s="2">
        <f t="shared" si="10"/>
        <v>50.173000000000002</v>
      </c>
      <c r="I128" s="2" t="e">
        <f t="shared" si="11"/>
        <v>#DIV/0!</v>
      </c>
      <c r="J128" s="10" t="e">
        <f t="shared" si="12"/>
        <v>#DIV/0!</v>
      </c>
    </row>
    <row r="129" spans="1:10" ht="13" x14ac:dyDescent="0.15">
      <c r="A129" s="2">
        <v>210</v>
      </c>
      <c r="B129" s="15">
        <v>716.42970000000003</v>
      </c>
      <c r="C129" s="19">
        <v>53.607999999999997</v>
      </c>
      <c r="H129" s="2">
        <f t="shared" si="10"/>
        <v>53.607999999999997</v>
      </c>
      <c r="I129" s="2" t="e">
        <f t="shared" si="11"/>
        <v>#DIV/0!</v>
      </c>
      <c r="J129" s="10" t="e">
        <f t="shared" si="12"/>
        <v>#DIV/0!</v>
      </c>
    </row>
    <row r="130" spans="1:10" ht="13" x14ac:dyDescent="0.15">
      <c r="A130" s="2">
        <v>225</v>
      </c>
      <c r="B130" s="15">
        <v>765.35080000000005</v>
      </c>
      <c r="C130" s="19">
        <v>57.331000000000003</v>
      </c>
      <c r="H130" s="2">
        <f t="shared" si="10"/>
        <v>57.331000000000003</v>
      </c>
      <c r="I130" s="2" t="e">
        <f t="shared" si="11"/>
        <v>#DIV/0!</v>
      </c>
      <c r="J130" s="10" t="e">
        <f t="shared" si="12"/>
        <v>#DIV/0!</v>
      </c>
    </row>
    <row r="131" spans="1:10" ht="13" x14ac:dyDescent="0.15">
      <c r="A131" s="2">
        <v>240</v>
      </c>
      <c r="B131" s="15">
        <v>818.86289999999997</v>
      </c>
      <c r="C131" s="19">
        <v>61.404000000000003</v>
      </c>
      <c r="H131" s="2">
        <f t="shared" si="10"/>
        <v>61.404000000000003</v>
      </c>
      <c r="I131" s="2" t="e">
        <f t="shared" si="11"/>
        <v>#DIV/0!</v>
      </c>
      <c r="J131" s="10" t="e">
        <f t="shared" si="12"/>
        <v>#DIV/0!</v>
      </c>
    </row>
  </sheetData>
  <mergeCells count="1">
    <mergeCell ref="A2:E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K22"/>
  <sheetViews>
    <sheetView workbookViewId="0"/>
  </sheetViews>
  <sheetFormatPr baseColWidth="10" defaultColWidth="12.6640625" defaultRowHeight="15.75" customHeight="1" x14ac:dyDescent="0.15"/>
  <cols>
    <col min="3" max="3" width="11.6640625" customWidth="1"/>
  </cols>
  <sheetData>
    <row r="1" spans="1:11" ht="15.75" customHeight="1" x14ac:dyDescent="0.15">
      <c r="A1" s="4" t="s">
        <v>3</v>
      </c>
      <c r="B1" s="4" t="s">
        <v>4</v>
      </c>
      <c r="C1" s="4" t="s">
        <v>118</v>
      </c>
      <c r="D1" s="22" t="s">
        <v>119</v>
      </c>
      <c r="E1" s="2" t="s">
        <v>120</v>
      </c>
      <c r="F1" s="2" t="s">
        <v>121</v>
      </c>
      <c r="H1" s="2" t="s">
        <v>122</v>
      </c>
    </row>
    <row r="2" spans="1:11" ht="15.75" customHeight="1" x14ac:dyDescent="0.15">
      <c r="A2" s="2">
        <v>5</v>
      </c>
      <c r="B2" s="2">
        <v>16.7</v>
      </c>
      <c r="C2" s="8">
        <f t="shared" ref="C2:C22" si="0">IF(((B2-$F$3)/$F$2)&gt;0,((B2-$F$3)/$F$2),0)</f>
        <v>0</v>
      </c>
      <c r="D2" s="8">
        <f t="shared" ref="D2:D22" si="1">(C2/400)*100</f>
        <v>0</v>
      </c>
      <c r="F2" s="2">
        <v>13.943581699999999</v>
      </c>
      <c r="H2" s="2" t="s">
        <v>123</v>
      </c>
      <c r="K2" s="2" t="s">
        <v>124</v>
      </c>
    </row>
    <row r="3" spans="1:11" ht="15.75" customHeight="1" x14ac:dyDescent="0.15">
      <c r="A3" s="2">
        <v>10</v>
      </c>
      <c r="B3" s="2">
        <v>22.1</v>
      </c>
      <c r="C3" s="8">
        <f t="shared" si="0"/>
        <v>0</v>
      </c>
      <c r="D3" s="8">
        <f t="shared" si="1"/>
        <v>0</v>
      </c>
      <c r="F3" s="2">
        <v>28.143969999999999</v>
      </c>
      <c r="H3" s="2" t="s">
        <v>125</v>
      </c>
    </row>
    <row r="4" spans="1:11" ht="15.75" customHeight="1" x14ac:dyDescent="0.15">
      <c r="A4" s="2">
        <v>15</v>
      </c>
      <c r="B4" s="2">
        <v>36.299999999999997</v>
      </c>
      <c r="C4" s="8">
        <f t="shared" si="0"/>
        <v>0.58493077141004579</v>
      </c>
      <c r="D4" s="8">
        <f t="shared" si="1"/>
        <v>0.14623269285251145</v>
      </c>
    </row>
    <row r="5" spans="1:11" ht="15.75" customHeight="1" x14ac:dyDescent="0.15">
      <c r="A5" s="2">
        <v>20</v>
      </c>
      <c r="B5" s="2">
        <v>43.9</v>
      </c>
      <c r="C5" s="8">
        <f t="shared" si="0"/>
        <v>1.1299844142628002</v>
      </c>
      <c r="D5" s="8">
        <f t="shared" si="1"/>
        <v>0.28249610356570004</v>
      </c>
    </row>
    <row r="6" spans="1:11" ht="15.75" customHeight="1" x14ac:dyDescent="0.15">
      <c r="A6" s="2">
        <v>30</v>
      </c>
      <c r="B6" s="2">
        <v>58.8</v>
      </c>
      <c r="C6" s="8">
        <f t="shared" si="0"/>
        <v>2.1985764245925421</v>
      </c>
      <c r="D6" s="8">
        <f t="shared" si="1"/>
        <v>0.54964410614813553</v>
      </c>
    </row>
    <row r="7" spans="1:11" ht="15.75" customHeight="1" x14ac:dyDescent="0.15">
      <c r="A7" s="2">
        <v>45</v>
      </c>
      <c r="B7" s="2">
        <v>78.7</v>
      </c>
      <c r="C7" s="8">
        <f t="shared" si="0"/>
        <v>3.6257563578517282</v>
      </c>
      <c r="D7" s="8">
        <f t="shared" si="1"/>
        <v>0.90643908946293206</v>
      </c>
    </row>
    <row r="8" spans="1:11" ht="15.75" customHeight="1" x14ac:dyDescent="0.15">
      <c r="A8" s="2">
        <v>60</v>
      </c>
      <c r="B8" s="2">
        <v>99.4</v>
      </c>
      <c r="C8" s="8">
        <f t="shared" si="0"/>
        <v>5.1103103587796248</v>
      </c>
      <c r="D8" s="8">
        <f t="shared" si="1"/>
        <v>1.2775775896949062</v>
      </c>
    </row>
    <row r="9" spans="1:11" ht="15.75" customHeight="1" x14ac:dyDescent="0.15">
      <c r="A9" s="2">
        <v>75</v>
      </c>
      <c r="B9" s="2">
        <v>116.6</v>
      </c>
      <c r="C9" s="8">
        <f t="shared" si="0"/>
        <v>6.3438528136569099</v>
      </c>
      <c r="D9" s="8">
        <f t="shared" si="1"/>
        <v>1.5859632034142275</v>
      </c>
    </row>
    <row r="10" spans="1:11" ht="15.75" customHeight="1" x14ac:dyDescent="0.15">
      <c r="A10" s="2">
        <v>90</v>
      </c>
      <c r="B10" s="2">
        <v>126.7</v>
      </c>
      <c r="C10" s="8">
        <f t="shared" si="0"/>
        <v>7.0682004179743867</v>
      </c>
      <c r="D10" s="8">
        <f t="shared" si="1"/>
        <v>1.7670501044935967</v>
      </c>
      <c r="E10" s="2" t="s">
        <v>126</v>
      </c>
    </row>
    <row r="11" spans="1:11" ht="15.75" customHeight="1" x14ac:dyDescent="0.15">
      <c r="A11" s="2">
        <v>105.5</v>
      </c>
      <c r="B11" s="2">
        <v>142.69999999999999</v>
      </c>
      <c r="C11" s="8">
        <f t="shared" si="0"/>
        <v>8.2156817713486046</v>
      </c>
      <c r="D11" s="8">
        <f t="shared" si="1"/>
        <v>2.0539204428371511</v>
      </c>
      <c r="E11" s="2" t="s">
        <v>127</v>
      </c>
    </row>
    <row r="12" spans="1:11" ht="15.75" customHeight="1" x14ac:dyDescent="0.15">
      <c r="A12" s="2">
        <v>120</v>
      </c>
      <c r="B12" s="2">
        <v>148.30000000000001</v>
      </c>
      <c r="C12" s="8">
        <f t="shared" si="0"/>
        <v>8.6173002450295844</v>
      </c>
      <c r="D12" s="8">
        <f t="shared" si="1"/>
        <v>2.1543250612573961</v>
      </c>
    </row>
    <row r="13" spans="1:11" ht="15.75" customHeight="1" x14ac:dyDescent="0.15">
      <c r="A13" s="2">
        <v>135</v>
      </c>
      <c r="B13" s="2">
        <v>150.6</v>
      </c>
      <c r="C13" s="8">
        <f t="shared" si="0"/>
        <v>8.7822506895771273</v>
      </c>
      <c r="D13" s="8">
        <f t="shared" si="1"/>
        <v>2.1955626723942818</v>
      </c>
    </row>
    <row r="14" spans="1:11" ht="15.75" customHeight="1" x14ac:dyDescent="0.15">
      <c r="A14" s="2">
        <v>150</v>
      </c>
      <c r="B14" s="2">
        <v>166.8</v>
      </c>
      <c r="C14" s="8">
        <f t="shared" si="0"/>
        <v>9.9440755598685246</v>
      </c>
      <c r="D14" s="8">
        <f t="shared" si="1"/>
        <v>2.4860188899671312</v>
      </c>
    </row>
    <row r="15" spans="1:11" ht="15.75" customHeight="1" x14ac:dyDescent="0.15">
      <c r="A15" s="2">
        <v>165</v>
      </c>
      <c r="B15" s="2">
        <v>172.4</v>
      </c>
      <c r="C15" s="8">
        <f t="shared" si="0"/>
        <v>10.345694033549501</v>
      </c>
      <c r="D15" s="8">
        <f t="shared" si="1"/>
        <v>2.5864235083873752</v>
      </c>
    </row>
    <row r="16" spans="1:11" ht="15.75" customHeight="1" x14ac:dyDescent="0.15">
      <c r="A16" s="2">
        <v>180</v>
      </c>
      <c r="B16" s="2">
        <v>179.5</v>
      </c>
      <c r="C16" s="8">
        <f t="shared" si="0"/>
        <v>10.854888884109311</v>
      </c>
      <c r="D16" s="8">
        <f t="shared" si="1"/>
        <v>2.7137222210273277</v>
      </c>
    </row>
    <row r="17" spans="1:5" ht="15.75" customHeight="1" x14ac:dyDescent="0.15">
      <c r="A17" s="2">
        <v>195</v>
      </c>
      <c r="B17" s="2">
        <v>180.3</v>
      </c>
      <c r="C17" s="8">
        <f t="shared" si="0"/>
        <v>10.912262951778024</v>
      </c>
      <c r="D17" s="8">
        <f t="shared" si="1"/>
        <v>2.7280657379445059</v>
      </c>
    </row>
    <row r="18" spans="1:5" ht="15.75" customHeight="1" x14ac:dyDescent="0.15">
      <c r="A18" s="2">
        <v>210</v>
      </c>
      <c r="B18" s="2">
        <v>187.9</v>
      </c>
      <c r="C18" s="8">
        <f t="shared" si="0"/>
        <v>11.457316594630777</v>
      </c>
      <c r="D18" s="8">
        <f t="shared" si="1"/>
        <v>2.8643291486576943</v>
      </c>
    </row>
    <row r="19" spans="1:5" ht="15.75" customHeight="1" x14ac:dyDescent="0.15">
      <c r="A19" s="2">
        <v>225</v>
      </c>
      <c r="B19" s="2">
        <v>188.8</v>
      </c>
      <c r="C19" s="8">
        <f t="shared" si="0"/>
        <v>11.521862420758078</v>
      </c>
      <c r="D19" s="8">
        <f t="shared" si="1"/>
        <v>2.8804656051895194</v>
      </c>
    </row>
    <row r="20" spans="1:5" ht="15.75" customHeight="1" x14ac:dyDescent="0.15">
      <c r="A20" s="2">
        <v>240</v>
      </c>
      <c r="B20" s="2">
        <v>188.9</v>
      </c>
      <c r="C20" s="8">
        <f t="shared" si="0"/>
        <v>11.529034179216666</v>
      </c>
      <c r="D20" s="8">
        <f t="shared" si="1"/>
        <v>2.8822585448041664</v>
      </c>
    </row>
    <row r="21" spans="1:5" ht="15.75" customHeight="1" x14ac:dyDescent="0.15">
      <c r="A21" s="2">
        <v>255</v>
      </c>
      <c r="B21" s="2">
        <v>188.01</v>
      </c>
      <c r="C21" s="8">
        <f t="shared" si="0"/>
        <v>11.465205528935224</v>
      </c>
      <c r="D21" s="8">
        <f t="shared" si="1"/>
        <v>2.8663013822338059</v>
      </c>
      <c r="E21" s="2" t="s">
        <v>128</v>
      </c>
    </row>
    <row r="22" spans="1:5" ht="15.75" customHeight="1" x14ac:dyDescent="0.15">
      <c r="A22" s="2">
        <v>265</v>
      </c>
      <c r="B22" s="2">
        <v>194.9</v>
      </c>
      <c r="C22" s="8">
        <f t="shared" si="0"/>
        <v>11.959339686731997</v>
      </c>
      <c r="D22" s="8">
        <f t="shared" si="1"/>
        <v>2.9898349216829994</v>
      </c>
      <c r="E22" s="2" t="s">
        <v>129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L24"/>
  <sheetViews>
    <sheetView workbookViewId="0"/>
  </sheetViews>
  <sheetFormatPr baseColWidth="10" defaultColWidth="12.6640625" defaultRowHeight="15.75" customHeight="1" x14ac:dyDescent="0.15"/>
  <cols>
    <col min="3" max="3" width="11.6640625" customWidth="1"/>
  </cols>
  <sheetData>
    <row r="1" spans="1:12" ht="15.75" customHeight="1" x14ac:dyDescent="0.15">
      <c r="A1" s="4" t="s">
        <v>3</v>
      </c>
      <c r="B1" s="4" t="s">
        <v>4</v>
      </c>
      <c r="C1" s="4" t="s">
        <v>118</v>
      </c>
      <c r="D1" s="22" t="s">
        <v>119</v>
      </c>
      <c r="E1" s="2" t="s">
        <v>130</v>
      </c>
      <c r="F1" s="2" t="s">
        <v>121</v>
      </c>
      <c r="H1" s="2" t="s">
        <v>122</v>
      </c>
    </row>
    <row r="2" spans="1:12" ht="15.75" customHeight="1" x14ac:dyDescent="0.15">
      <c r="A2" s="2">
        <v>5</v>
      </c>
      <c r="B2" s="2">
        <v>4.3</v>
      </c>
      <c r="C2" s="8">
        <f t="shared" ref="C2:C11" si="0">IF(((B2-$F$3)/$F$2)&gt;0,((B2-$F$3)/$F$2),0)</f>
        <v>0</v>
      </c>
      <c r="D2" s="2">
        <f t="shared" ref="D2:D11" si="1">(C2/400)*100</f>
        <v>0</v>
      </c>
      <c r="F2" s="2">
        <v>13.943581699999999</v>
      </c>
      <c r="H2" s="2" t="s">
        <v>131</v>
      </c>
      <c r="L2" s="2" t="s">
        <v>124</v>
      </c>
    </row>
    <row r="3" spans="1:12" ht="15.75" customHeight="1" x14ac:dyDescent="0.15">
      <c r="A3" s="2">
        <v>10</v>
      </c>
      <c r="B3" s="2">
        <v>5.9</v>
      </c>
      <c r="C3" s="8">
        <f t="shared" si="0"/>
        <v>0</v>
      </c>
      <c r="D3" s="2">
        <f t="shared" si="1"/>
        <v>0</v>
      </c>
      <c r="F3" s="2">
        <v>28.143969999999999</v>
      </c>
      <c r="H3" s="2" t="s">
        <v>125</v>
      </c>
      <c r="L3" s="2" t="s">
        <v>132</v>
      </c>
    </row>
    <row r="4" spans="1:12" ht="15.75" customHeight="1" x14ac:dyDescent="0.15">
      <c r="A4" s="2">
        <v>15</v>
      </c>
      <c r="B4" s="2">
        <v>9.1999999999999993</v>
      </c>
      <c r="C4" s="8">
        <f t="shared" si="0"/>
        <v>0</v>
      </c>
      <c r="D4" s="2">
        <f t="shared" si="1"/>
        <v>0</v>
      </c>
    </row>
    <row r="5" spans="1:12" ht="15.75" customHeight="1" x14ac:dyDescent="0.15">
      <c r="A5" s="2">
        <v>20</v>
      </c>
      <c r="B5" s="2">
        <v>9.3000000000000007</v>
      </c>
      <c r="C5" s="8">
        <f t="shared" si="0"/>
        <v>0</v>
      </c>
      <c r="D5" s="2">
        <f t="shared" si="1"/>
        <v>0</v>
      </c>
    </row>
    <row r="6" spans="1:12" ht="15.75" customHeight="1" x14ac:dyDescent="0.15">
      <c r="A6" s="2">
        <v>30</v>
      </c>
      <c r="B6" s="2">
        <v>13.4</v>
      </c>
      <c r="C6" s="8">
        <f t="shared" si="0"/>
        <v>0</v>
      </c>
      <c r="D6" s="2">
        <f t="shared" si="1"/>
        <v>0</v>
      </c>
    </row>
    <row r="7" spans="1:12" ht="15.75" customHeight="1" x14ac:dyDescent="0.15">
      <c r="A7" s="2">
        <v>45</v>
      </c>
      <c r="B7" s="2">
        <v>17.3</v>
      </c>
      <c r="C7" s="8">
        <f t="shared" si="0"/>
        <v>0</v>
      </c>
      <c r="D7" s="2">
        <f t="shared" si="1"/>
        <v>0</v>
      </c>
    </row>
    <row r="8" spans="1:12" ht="15.75" customHeight="1" x14ac:dyDescent="0.15">
      <c r="A8" s="2">
        <v>60</v>
      </c>
      <c r="B8" s="2">
        <v>20.9</v>
      </c>
      <c r="C8" s="8">
        <f t="shared" si="0"/>
        <v>0</v>
      </c>
      <c r="D8" s="2">
        <f t="shared" si="1"/>
        <v>0</v>
      </c>
    </row>
    <row r="9" spans="1:12" ht="15.75" customHeight="1" x14ac:dyDescent="0.15">
      <c r="A9" s="2">
        <v>75</v>
      </c>
      <c r="B9" s="2">
        <v>27.3</v>
      </c>
      <c r="C9" s="8">
        <f t="shared" si="0"/>
        <v>0</v>
      </c>
      <c r="D9" s="2">
        <f t="shared" si="1"/>
        <v>0</v>
      </c>
    </row>
    <row r="10" spans="1:12" ht="15.75" customHeight="1" x14ac:dyDescent="0.15">
      <c r="A10" s="2">
        <v>90</v>
      </c>
      <c r="B10" s="2">
        <v>28.7</v>
      </c>
      <c r="C10" s="8">
        <f t="shared" si="0"/>
        <v>3.987712855729169E-2</v>
      </c>
      <c r="D10" s="8">
        <f t="shared" si="1"/>
        <v>9.9692821393229224E-3</v>
      </c>
    </row>
    <row r="11" spans="1:12" ht="15.75" customHeight="1" x14ac:dyDescent="0.15">
      <c r="A11" s="2">
        <v>105</v>
      </c>
      <c r="B11" s="2">
        <v>31.8</v>
      </c>
      <c r="C11" s="8">
        <f t="shared" si="0"/>
        <v>0.26220164077354685</v>
      </c>
      <c r="D11" s="8">
        <f t="shared" si="1"/>
        <v>6.5550410193386713E-2</v>
      </c>
    </row>
    <row r="13" spans="1:12" ht="15.75" customHeight="1" x14ac:dyDescent="0.15">
      <c r="A13" s="2">
        <v>1270</v>
      </c>
      <c r="B13" s="2">
        <v>130.80000000000001</v>
      </c>
      <c r="C13" s="8">
        <f>IF(((B13-$F$3)/$F$2)&gt;0,((B13-$F$3)/$F$2),0)</f>
        <v>7.3622425147765309</v>
      </c>
      <c r="D13" s="8">
        <f>(C13/400)*100</f>
        <v>1.8405606286941327</v>
      </c>
    </row>
    <row r="17" spans="2:4" ht="15.75" customHeight="1" x14ac:dyDescent="0.15">
      <c r="D17" s="2" t="s">
        <v>133</v>
      </c>
    </row>
    <row r="18" spans="2:4" ht="15.75" customHeight="1" x14ac:dyDescent="0.15">
      <c r="B18" s="2" t="s">
        <v>134</v>
      </c>
    </row>
    <row r="19" spans="2:4" ht="15.75" customHeight="1" x14ac:dyDescent="0.15">
      <c r="B19" s="2" t="s">
        <v>135</v>
      </c>
    </row>
    <row r="20" spans="2:4" ht="15.75" customHeight="1" x14ac:dyDescent="0.15">
      <c r="B20" s="2" t="s">
        <v>136</v>
      </c>
    </row>
    <row r="21" spans="2:4" ht="15.75" customHeight="1" x14ac:dyDescent="0.15">
      <c r="B21" s="2" t="s">
        <v>137</v>
      </c>
    </row>
    <row r="22" spans="2:4" ht="15.75" customHeight="1" x14ac:dyDescent="0.15">
      <c r="B22" s="2" t="s">
        <v>138</v>
      </c>
    </row>
    <row r="23" spans="2:4" ht="15.75" customHeight="1" x14ac:dyDescent="0.15">
      <c r="B23" s="2" t="s">
        <v>139</v>
      </c>
    </row>
    <row r="24" spans="2:4" ht="15.75" customHeight="1" x14ac:dyDescent="0.15">
      <c r="B24" s="2" t="s">
        <v>140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H12"/>
  <sheetViews>
    <sheetView workbookViewId="0"/>
  </sheetViews>
  <sheetFormatPr baseColWidth="10" defaultColWidth="12.6640625" defaultRowHeight="15.75" customHeight="1" x14ac:dyDescent="0.15"/>
  <cols>
    <col min="3" max="3" width="11.6640625" customWidth="1"/>
  </cols>
  <sheetData>
    <row r="1" spans="1:8" ht="15.75" customHeight="1" x14ac:dyDescent="0.15">
      <c r="A1" s="4" t="s">
        <v>3</v>
      </c>
      <c r="B1" s="4" t="s">
        <v>4</v>
      </c>
      <c r="C1" s="4" t="s">
        <v>118</v>
      </c>
      <c r="F1" s="2" t="s">
        <v>121</v>
      </c>
      <c r="H1" s="2" t="s">
        <v>141</v>
      </c>
    </row>
    <row r="2" spans="1:8" ht="15.75" customHeight="1" x14ac:dyDescent="0.15">
      <c r="A2" s="2">
        <v>5</v>
      </c>
      <c r="B2" s="2">
        <v>3.2</v>
      </c>
      <c r="C2" s="8">
        <f t="shared" ref="C2:C12" si="0">IF(((B2-$F$3)/$F$2)&gt;0,((B2-$F$3)/$F$2),0)</f>
        <v>0</v>
      </c>
      <c r="D2" s="8">
        <f>C2</f>
        <v>0</v>
      </c>
      <c r="F2" s="2">
        <v>13.943581699999999</v>
      </c>
    </row>
    <row r="3" spans="1:8" ht="15.75" customHeight="1" x14ac:dyDescent="0.15">
      <c r="A3" s="2">
        <v>10</v>
      </c>
      <c r="B3" s="2">
        <v>4</v>
      </c>
      <c r="C3" s="8">
        <f t="shared" si="0"/>
        <v>0</v>
      </c>
      <c r="F3" s="2">
        <v>28.143969999999999</v>
      </c>
    </row>
    <row r="4" spans="1:8" ht="15.75" customHeight="1" x14ac:dyDescent="0.15">
      <c r="A4" s="2">
        <v>15</v>
      </c>
      <c r="B4" s="2">
        <v>3.4</v>
      </c>
      <c r="C4" s="8">
        <f t="shared" si="0"/>
        <v>0</v>
      </c>
    </row>
    <row r="5" spans="1:8" ht="15.75" customHeight="1" x14ac:dyDescent="0.15">
      <c r="A5" s="2">
        <v>20</v>
      </c>
      <c r="B5" s="2">
        <v>8.3000000000000007</v>
      </c>
      <c r="C5" s="8">
        <f t="shared" si="0"/>
        <v>0</v>
      </c>
    </row>
    <row r="6" spans="1:8" ht="15.75" customHeight="1" x14ac:dyDescent="0.15">
      <c r="A6" s="2">
        <v>30</v>
      </c>
      <c r="B6" s="2">
        <v>4.0999999999999996</v>
      </c>
      <c r="C6" s="8">
        <f t="shared" si="0"/>
        <v>0</v>
      </c>
    </row>
    <row r="7" spans="1:8" ht="15.75" customHeight="1" x14ac:dyDescent="0.15">
      <c r="A7" s="2">
        <v>45</v>
      </c>
      <c r="B7" s="2">
        <v>5.0999999999999996</v>
      </c>
      <c r="C7" s="8">
        <f t="shared" si="0"/>
        <v>0</v>
      </c>
    </row>
    <row r="8" spans="1:8" ht="15.75" customHeight="1" x14ac:dyDescent="0.15">
      <c r="A8" s="2">
        <v>60</v>
      </c>
      <c r="C8" s="8">
        <f t="shared" si="0"/>
        <v>0</v>
      </c>
    </row>
    <row r="9" spans="1:8" ht="15.75" customHeight="1" x14ac:dyDescent="0.15">
      <c r="A9" s="2">
        <v>75</v>
      </c>
      <c r="C9" s="8">
        <f t="shared" si="0"/>
        <v>0</v>
      </c>
    </row>
    <row r="10" spans="1:8" ht="15.75" customHeight="1" x14ac:dyDescent="0.15">
      <c r="A10" s="2">
        <v>90</v>
      </c>
      <c r="C10" s="8">
        <f t="shared" si="0"/>
        <v>0</v>
      </c>
    </row>
    <row r="11" spans="1:8" ht="15.75" customHeight="1" x14ac:dyDescent="0.15">
      <c r="A11" s="2">
        <v>120</v>
      </c>
      <c r="C11" s="8">
        <f t="shared" si="0"/>
        <v>0</v>
      </c>
    </row>
    <row r="12" spans="1:8" ht="15.75" customHeight="1" x14ac:dyDescent="0.15">
      <c r="A12" s="2">
        <v>1275</v>
      </c>
      <c r="C12" s="8">
        <f t="shared" si="0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F12"/>
  <sheetViews>
    <sheetView workbookViewId="0"/>
  </sheetViews>
  <sheetFormatPr baseColWidth="10" defaultColWidth="12.6640625" defaultRowHeight="15.75" customHeight="1" x14ac:dyDescent="0.15"/>
  <cols>
    <col min="3" max="3" width="11.6640625" customWidth="1"/>
  </cols>
  <sheetData>
    <row r="1" spans="1:6" ht="15.75" customHeight="1" x14ac:dyDescent="0.15">
      <c r="A1" s="4" t="s">
        <v>3</v>
      </c>
      <c r="B1" s="4" t="s">
        <v>4</v>
      </c>
      <c r="C1" s="4" t="s">
        <v>118</v>
      </c>
      <c r="F1" s="2" t="s">
        <v>121</v>
      </c>
    </row>
    <row r="2" spans="1:6" ht="15.75" customHeight="1" x14ac:dyDescent="0.15">
      <c r="A2" s="2">
        <v>5</v>
      </c>
      <c r="B2" s="2">
        <v>0</v>
      </c>
      <c r="C2" s="8">
        <f t="shared" ref="C2:C12" si="0">IF(((B2-$F$3)/$F$2)&gt;0,((B2-$F$3)/$F$2),0)</f>
        <v>0</v>
      </c>
      <c r="D2" s="8">
        <f>C2</f>
        <v>0</v>
      </c>
      <c r="F2" s="2">
        <v>13.943581699999999</v>
      </c>
    </row>
    <row r="3" spans="1:6" ht="15.75" customHeight="1" x14ac:dyDescent="0.15">
      <c r="A3" s="2">
        <v>10</v>
      </c>
      <c r="B3" s="2">
        <v>0</v>
      </c>
      <c r="C3" s="8">
        <f t="shared" si="0"/>
        <v>0</v>
      </c>
      <c r="F3" s="2">
        <v>28.143969999999999</v>
      </c>
    </row>
    <row r="4" spans="1:6" ht="15.75" customHeight="1" x14ac:dyDescent="0.15">
      <c r="A4" s="2">
        <v>15</v>
      </c>
      <c r="B4" s="2">
        <v>0</v>
      </c>
      <c r="C4" s="8">
        <f t="shared" si="0"/>
        <v>0</v>
      </c>
    </row>
    <row r="5" spans="1:6" ht="15.75" customHeight="1" x14ac:dyDescent="0.15">
      <c r="A5" s="2">
        <v>20</v>
      </c>
      <c r="B5" s="2">
        <v>0</v>
      </c>
      <c r="C5" s="8">
        <f t="shared" si="0"/>
        <v>0</v>
      </c>
    </row>
    <row r="6" spans="1:6" ht="15.75" customHeight="1" x14ac:dyDescent="0.15">
      <c r="A6" s="2">
        <v>30</v>
      </c>
      <c r="B6" s="2">
        <v>0</v>
      </c>
      <c r="C6" s="8">
        <f t="shared" si="0"/>
        <v>0</v>
      </c>
    </row>
    <row r="7" spans="1:6" ht="15.75" customHeight="1" x14ac:dyDescent="0.15">
      <c r="A7" s="2">
        <v>45</v>
      </c>
      <c r="B7" s="2">
        <v>0</v>
      </c>
      <c r="C7" s="8">
        <f t="shared" si="0"/>
        <v>0</v>
      </c>
    </row>
    <row r="8" spans="1:6" ht="15.75" customHeight="1" x14ac:dyDescent="0.15">
      <c r="A8" s="2">
        <v>60</v>
      </c>
      <c r="B8" s="2">
        <v>0</v>
      </c>
      <c r="C8" s="8">
        <f t="shared" si="0"/>
        <v>0</v>
      </c>
    </row>
    <row r="9" spans="1:6" ht="15.75" customHeight="1" x14ac:dyDescent="0.15">
      <c r="A9" s="2">
        <v>75</v>
      </c>
      <c r="B9" s="2">
        <v>0</v>
      </c>
      <c r="C9" s="8">
        <f t="shared" si="0"/>
        <v>0</v>
      </c>
    </row>
    <row r="10" spans="1:6" ht="15.75" customHeight="1" x14ac:dyDescent="0.15">
      <c r="A10" s="2">
        <v>90</v>
      </c>
      <c r="B10" s="2">
        <v>0</v>
      </c>
      <c r="C10" s="8">
        <f t="shared" si="0"/>
        <v>0</v>
      </c>
    </row>
    <row r="11" spans="1:6" ht="15.75" customHeight="1" x14ac:dyDescent="0.15">
      <c r="A11" s="2">
        <v>120</v>
      </c>
      <c r="B11" s="2">
        <v>0</v>
      </c>
      <c r="C11" s="8">
        <f t="shared" si="0"/>
        <v>0</v>
      </c>
    </row>
    <row r="12" spans="1:6" ht="15.75" customHeight="1" x14ac:dyDescent="0.15">
      <c r="A12" s="2">
        <v>1275</v>
      </c>
      <c r="B12" s="2">
        <v>0</v>
      </c>
      <c r="C12" s="8">
        <f t="shared" si="0"/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K18"/>
  <sheetViews>
    <sheetView workbookViewId="0"/>
  </sheetViews>
  <sheetFormatPr baseColWidth="10" defaultColWidth="12.6640625" defaultRowHeight="15.75" customHeight="1" x14ac:dyDescent="0.15"/>
  <cols>
    <col min="1" max="1" width="9.6640625" customWidth="1"/>
    <col min="3" max="3" width="12.33203125" customWidth="1"/>
  </cols>
  <sheetData>
    <row r="1" spans="1:11" ht="15.75" customHeight="1" x14ac:dyDescent="0.15">
      <c r="A1" s="4" t="s">
        <v>3</v>
      </c>
      <c r="B1" s="4" t="s">
        <v>4</v>
      </c>
      <c r="C1" s="4" t="s">
        <v>142</v>
      </c>
      <c r="E1" s="2" t="s">
        <v>121</v>
      </c>
      <c r="F1" s="2" t="s">
        <v>143</v>
      </c>
      <c r="K1" s="2" t="s">
        <v>144</v>
      </c>
    </row>
    <row r="2" spans="1:11" ht="15.75" customHeight="1" x14ac:dyDescent="0.15">
      <c r="A2" s="2">
        <v>5</v>
      </c>
      <c r="B2" s="2">
        <v>4.4000000000000004</v>
      </c>
      <c r="C2" s="8">
        <f t="shared" ref="C2:C10" si="0">(B2-$E$3)/$E$2</f>
        <v>-1.702860176879804</v>
      </c>
      <c r="E2" s="2">
        <v>13.943581699999999</v>
      </c>
      <c r="F2" s="2" t="s">
        <v>9</v>
      </c>
      <c r="K2" s="2" t="s">
        <v>145</v>
      </c>
    </row>
    <row r="3" spans="1:11" ht="15.75" customHeight="1" x14ac:dyDescent="0.15">
      <c r="A3" s="2">
        <v>10</v>
      </c>
      <c r="B3" s="2">
        <v>5.7</v>
      </c>
      <c r="C3" s="8">
        <f t="shared" si="0"/>
        <v>-1.609627316918149</v>
      </c>
      <c r="E3" s="2">
        <v>28.143969999999999</v>
      </c>
      <c r="F3" s="2" t="s">
        <v>11</v>
      </c>
      <c r="K3" s="2" t="s">
        <v>146</v>
      </c>
    </row>
    <row r="4" spans="1:11" ht="15.75" customHeight="1" x14ac:dyDescent="0.15">
      <c r="A4" s="2">
        <v>15</v>
      </c>
      <c r="B4" s="2">
        <v>0</v>
      </c>
      <c r="C4" s="8">
        <f t="shared" si="0"/>
        <v>-2.0184175490577148</v>
      </c>
      <c r="K4" s="2" t="s">
        <v>147</v>
      </c>
    </row>
    <row r="5" spans="1:11" ht="15.75" customHeight="1" x14ac:dyDescent="0.15">
      <c r="A5" s="2">
        <v>20</v>
      </c>
      <c r="B5" s="2">
        <v>0</v>
      </c>
      <c r="C5" s="8">
        <f t="shared" si="0"/>
        <v>-2.0184175490577148</v>
      </c>
      <c r="K5" s="2" t="s">
        <v>148</v>
      </c>
    </row>
    <row r="6" spans="1:11" ht="15.75" customHeight="1" x14ac:dyDescent="0.15">
      <c r="A6" s="2">
        <v>30</v>
      </c>
      <c r="B6" s="2">
        <v>0</v>
      </c>
      <c r="C6" s="8">
        <f t="shared" si="0"/>
        <v>-2.0184175490577148</v>
      </c>
      <c r="K6" s="2" t="s">
        <v>149</v>
      </c>
    </row>
    <row r="7" spans="1:11" ht="15.75" customHeight="1" x14ac:dyDescent="0.15">
      <c r="A7" s="2">
        <v>45</v>
      </c>
      <c r="B7" s="2">
        <v>0</v>
      </c>
      <c r="C7" s="8">
        <f t="shared" si="0"/>
        <v>-2.0184175490577148</v>
      </c>
      <c r="K7" s="2" t="s">
        <v>150</v>
      </c>
    </row>
    <row r="8" spans="1:11" ht="15.75" customHeight="1" x14ac:dyDescent="0.15">
      <c r="A8" s="2">
        <v>60</v>
      </c>
      <c r="C8" s="8">
        <f t="shared" si="0"/>
        <v>-2.0184175490577148</v>
      </c>
      <c r="E8" s="2" t="s">
        <v>3</v>
      </c>
      <c r="F8" s="2" t="s">
        <v>142</v>
      </c>
    </row>
    <row r="9" spans="1:11" ht="15.75" customHeight="1" x14ac:dyDescent="0.15">
      <c r="A9" s="2">
        <v>75</v>
      </c>
      <c r="C9" s="8">
        <f t="shared" si="0"/>
        <v>-2.0184175490577148</v>
      </c>
      <c r="E9" s="2">
        <v>0</v>
      </c>
    </row>
    <row r="10" spans="1:11" ht="15.75" customHeight="1" x14ac:dyDescent="0.15">
      <c r="A10" s="2">
        <v>90</v>
      </c>
      <c r="C10" s="8">
        <f t="shared" si="0"/>
        <v>-2.0184175490577148</v>
      </c>
      <c r="E10" s="2">
        <v>5</v>
      </c>
    </row>
    <row r="11" spans="1:11" ht="15.75" customHeight="1" x14ac:dyDescent="0.15">
      <c r="C11" s="8"/>
      <c r="E11" s="2">
        <v>10</v>
      </c>
    </row>
    <row r="12" spans="1:11" ht="15.75" customHeight="1" x14ac:dyDescent="0.15">
      <c r="C12" s="8"/>
      <c r="E12" s="2">
        <v>15</v>
      </c>
    </row>
    <row r="13" spans="1:11" ht="15.75" customHeight="1" x14ac:dyDescent="0.15">
      <c r="C13" s="8"/>
      <c r="E13" s="2">
        <v>20</v>
      </c>
    </row>
    <row r="14" spans="1:11" ht="15.75" customHeight="1" x14ac:dyDescent="0.15">
      <c r="E14" s="2">
        <v>30</v>
      </c>
    </row>
    <row r="15" spans="1:11" ht="15.75" customHeight="1" x14ac:dyDescent="0.15">
      <c r="E15" s="2">
        <v>45</v>
      </c>
    </row>
    <row r="16" spans="1:11" ht="15.75" customHeight="1" x14ac:dyDescent="0.15">
      <c r="E16" s="2">
        <v>60</v>
      </c>
    </row>
    <row r="17" spans="5:5" ht="15.75" customHeight="1" x14ac:dyDescent="0.15">
      <c r="E17" s="2">
        <v>75</v>
      </c>
    </row>
    <row r="18" spans="5:5" ht="15.75" customHeight="1" x14ac:dyDescent="0.15">
      <c r="E18" s="2">
        <v>90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K18"/>
  <sheetViews>
    <sheetView workbookViewId="0"/>
  </sheetViews>
  <sheetFormatPr baseColWidth="10" defaultColWidth="12.6640625" defaultRowHeight="15.75" customHeight="1" x14ac:dyDescent="0.15"/>
  <cols>
    <col min="1" max="1" width="9.6640625" customWidth="1"/>
    <col min="3" max="3" width="12.33203125" customWidth="1"/>
  </cols>
  <sheetData>
    <row r="1" spans="1:11" ht="15.75" customHeight="1" x14ac:dyDescent="0.15">
      <c r="A1" s="4" t="s">
        <v>3</v>
      </c>
      <c r="B1" s="4" t="s">
        <v>4</v>
      </c>
      <c r="C1" s="4" t="s">
        <v>142</v>
      </c>
      <c r="D1" s="23" t="s">
        <v>151</v>
      </c>
      <c r="E1" s="2" t="s">
        <v>121</v>
      </c>
      <c r="F1" s="2" t="s">
        <v>143</v>
      </c>
      <c r="K1" s="2" t="s">
        <v>145</v>
      </c>
    </row>
    <row r="2" spans="1:11" ht="15.75" customHeight="1" x14ac:dyDescent="0.15">
      <c r="A2" s="2">
        <v>5</v>
      </c>
      <c r="B2" s="2">
        <v>39.6</v>
      </c>
      <c r="C2" s="8">
        <f t="shared" ref="C2:C10" si="0">(B2-$E$3)/$E$2</f>
        <v>0.82159880054347889</v>
      </c>
      <c r="D2" s="23">
        <v>20.399999999999999</v>
      </c>
      <c r="E2" s="2">
        <v>13.943581699999999</v>
      </c>
      <c r="F2" s="2" t="s">
        <v>9</v>
      </c>
      <c r="K2" s="2" t="s">
        <v>146</v>
      </c>
    </row>
    <row r="3" spans="1:11" ht="15.75" customHeight="1" x14ac:dyDescent="0.15">
      <c r="A3" s="2">
        <v>10</v>
      </c>
      <c r="B3" s="2">
        <v>51.8</v>
      </c>
      <c r="C3" s="8">
        <f t="shared" si="0"/>
        <v>1.6965533324913209</v>
      </c>
      <c r="E3" s="2">
        <v>28.143969999999999</v>
      </c>
      <c r="F3" s="2" t="s">
        <v>11</v>
      </c>
      <c r="K3" s="2" t="s">
        <v>152</v>
      </c>
    </row>
    <row r="4" spans="1:11" ht="15.75" customHeight="1" x14ac:dyDescent="0.15">
      <c r="A4" s="2">
        <v>15</v>
      </c>
      <c r="B4" s="2">
        <v>44.5</v>
      </c>
      <c r="C4" s="8">
        <f t="shared" si="0"/>
        <v>1.1730149650143336</v>
      </c>
      <c r="K4" s="2" t="s">
        <v>148</v>
      </c>
    </row>
    <row r="5" spans="1:11" ht="15.75" customHeight="1" x14ac:dyDescent="0.15">
      <c r="A5" s="2">
        <v>20</v>
      </c>
      <c r="C5" s="8">
        <f t="shared" si="0"/>
        <v>-2.0184175490577148</v>
      </c>
      <c r="K5" s="2" t="s">
        <v>149</v>
      </c>
    </row>
    <row r="6" spans="1:11" ht="15.75" customHeight="1" x14ac:dyDescent="0.15">
      <c r="A6" s="2">
        <v>30</v>
      </c>
      <c r="B6" s="2">
        <v>48.1</v>
      </c>
      <c r="C6" s="8">
        <f t="shared" si="0"/>
        <v>1.431198269523533</v>
      </c>
      <c r="K6" s="2" t="s">
        <v>150</v>
      </c>
    </row>
    <row r="7" spans="1:11" ht="15.75" customHeight="1" x14ac:dyDescent="0.15">
      <c r="A7" s="2">
        <v>45</v>
      </c>
      <c r="B7" s="2">
        <v>0</v>
      </c>
      <c r="C7" s="8">
        <f t="shared" si="0"/>
        <v>-2.0184175490577148</v>
      </c>
    </row>
    <row r="8" spans="1:11" ht="15.75" customHeight="1" x14ac:dyDescent="0.15">
      <c r="A8" s="2">
        <v>60</v>
      </c>
      <c r="B8" s="2">
        <v>0</v>
      </c>
      <c r="C8" s="8">
        <f t="shared" si="0"/>
        <v>-2.0184175490577148</v>
      </c>
      <c r="E8" s="2" t="s">
        <v>3</v>
      </c>
      <c r="F8" s="2" t="s">
        <v>142</v>
      </c>
      <c r="K8" s="2">
        <v>10</v>
      </c>
    </row>
    <row r="9" spans="1:11" ht="15.75" customHeight="1" x14ac:dyDescent="0.15">
      <c r="A9" s="2">
        <v>75</v>
      </c>
      <c r="B9" s="2">
        <v>33.9</v>
      </c>
      <c r="C9" s="8">
        <f t="shared" si="0"/>
        <v>0.412808568403913</v>
      </c>
      <c r="E9" s="2">
        <v>0</v>
      </c>
      <c r="F9" s="2">
        <v>0</v>
      </c>
    </row>
    <row r="10" spans="1:11" ht="15.75" customHeight="1" x14ac:dyDescent="0.15">
      <c r="A10" s="2">
        <v>90</v>
      </c>
      <c r="B10" s="2">
        <v>33.200000000000003</v>
      </c>
      <c r="C10" s="8">
        <f t="shared" si="0"/>
        <v>0.36260625919379119</v>
      </c>
      <c r="E10" s="2">
        <v>5</v>
      </c>
      <c r="F10" s="2">
        <v>0.82</v>
      </c>
    </row>
    <row r="11" spans="1:11" ht="15.75" customHeight="1" x14ac:dyDescent="0.15">
      <c r="C11" s="8"/>
      <c r="E11" s="2">
        <v>10</v>
      </c>
      <c r="F11" s="2">
        <v>1.7</v>
      </c>
    </row>
    <row r="12" spans="1:11" ht="15.75" customHeight="1" x14ac:dyDescent="0.15">
      <c r="C12" s="8"/>
      <c r="E12" s="2">
        <v>15</v>
      </c>
      <c r="F12" s="2">
        <v>1.17</v>
      </c>
    </row>
    <row r="13" spans="1:11" ht="15.75" customHeight="1" x14ac:dyDescent="0.15">
      <c r="C13" s="8"/>
      <c r="E13" s="2">
        <v>20</v>
      </c>
    </row>
    <row r="14" spans="1:11" ht="15.75" customHeight="1" x14ac:dyDescent="0.15">
      <c r="E14" s="2">
        <v>30</v>
      </c>
      <c r="F14" s="2">
        <v>1.43</v>
      </c>
    </row>
    <row r="15" spans="1:11" ht="15.75" customHeight="1" x14ac:dyDescent="0.15">
      <c r="E15" s="2">
        <v>45</v>
      </c>
      <c r="F15" s="2">
        <v>0</v>
      </c>
    </row>
    <row r="16" spans="1:11" ht="15.75" customHeight="1" x14ac:dyDescent="0.15">
      <c r="E16" s="2">
        <v>60</v>
      </c>
      <c r="F16" s="2">
        <v>0</v>
      </c>
    </row>
    <row r="17" spans="5:6" ht="15.75" customHeight="1" x14ac:dyDescent="0.15">
      <c r="E17" s="2">
        <v>75</v>
      </c>
      <c r="F17" s="2">
        <v>0</v>
      </c>
    </row>
    <row r="18" spans="5:6" ht="15.75" customHeight="1" x14ac:dyDescent="0.15">
      <c r="E18" s="2">
        <v>90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K22"/>
  <sheetViews>
    <sheetView workbookViewId="0"/>
  </sheetViews>
  <sheetFormatPr baseColWidth="10" defaultColWidth="12.6640625" defaultRowHeight="15.75" customHeight="1" x14ac:dyDescent="0.15"/>
  <cols>
    <col min="1" max="1" width="9.6640625" customWidth="1"/>
    <col min="3" max="3" width="12.33203125" customWidth="1"/>
  </cols>
  <sheetData>
    <row r="1" spans="1:11" ht="15.75" customHeight="1" x14ac:dyDescent="0.15">
      <c r="A1" s="4" t="s">
        <v>3</v>
      </c>
      <c r="B1" s="4" t="s">
        <v>4</v>
      </c>
      <c r="C1" s="4" t="s">
        <v>142</v>
      </c>
      <c r="E1" s="2" t="s">
        <v>121</v>
      </c>
      <c r="F1" s="2" t="s">
        <v>143</v>
      </c>
      <c r="K1" s="2" t="s">
        <v>144</v>
      </c>
    </row>
    <row r="2" spans="1:11" ht="15.75" customHeight="1" x14ac:dyDescent="0.15">
      <c r="A2" s="2">
        <v>5</v>
      </c>
      <c r="B2" s="2">
        <v>8.4</v>
      </c>
      <c r="C2" s="8">
        <f t="shared" ref="C2:C10" si="0">(B2-$E$3)/$E$2</f>
        <v>-1.415989838536249</v>
      </c>
      <c r="E2" s="2">
        <v>13.943581699999999</v>
      </c>
      <c r="F2" s="2" t="s">
        <v>9</v>
      </c>
      <c r="K2" s="2" t="s">
        <v>145</v>
      </c>
    </row>
    <row r="3" spans="1:11" ht="15.75" customHeight="1" x14ac:dyDescent="0.15">
      <c r="A3" s="2">
        <v>10</v>
      </c>
      <c r="B3" s="2">
        <v>17.2</v>
      </c>
      <c r="C3" s="8">
        <f t="shared" si="0"/>
        <v>-0.78487509418042856</v>
      </c>
      <c r="E3" s="2">
        <v>28.143969999999999</v>
      </c>
      <c r="F3" s="2" t="s">
        <v>11</v>
      </c>
      <c r="K3" s="2" t="s">
        <v>146</v>
      </c>
    </row>
    <row r="4" spans="1:11" ht="15.75" customHeight="1" x14ac:dyDescent="0.15">
      <c r="A4" s="2">
        <v>15</v>
      </c>
      <c r="B4" s="2">
        <v>7.1</v>
      </c>
      <c r="C4" s="8">
        <f t="shared" si="0"/>
        <v>-1.5092226984979047</v>
      </c>
      <c r="K4" s="2" t="s">
        <v>147</v>
      </c>
    </row>
    <row r="5" spans="1:11" ht="15.75" customHeight="1" x14ac:dyDescent="0.15">
      <c r="A5" s="2">
        <v>20</v>
      </c>
      <c r="B5" s="2">
        <v>21</v>
      </c>
      <c r="C5" s="8">
        <f t="shared" si="0"/>
        <v>-0.51234827275405137</v>
      </c>
      <c r="D5" s="2">
        <v>0</v>
      </c>
      <c r="E5" s="2" t="s">
        <v>153</v>
      </c>
      <c r="K5" s="2" t="s">
        <v>148</v>
      </c>
    </row>
    <row r="6" spans="1:11" ht="15.75" customHeight="1" x14ac:dyDescent="0.15">
      <c r="A6" s="2">
        <v>30</v>
      </c>
      <c r="B6" s="2">
        <v>27.7</v>
      </c>
      <c r="C6" s="8">
        <f t="shared" si="0"/>
        <v>-3.1840456028597031E-2</v>
      </c>
      <c r="K6" s="2" t="s">
        <v>149</v>
      </c>
    </row>
    <row r="7" spans="1:11" ht="15.75" customHeight="1" x14ac:dyDescent="0.15">
      <c r="A7" s="2">
        <v>45</v>
      </c>
      <c r="B7" s="2">
        <v>23.9</v>
      </c>
      <c r="C7" s="8">
        <f t="shared" si="0"/>
        <v>-0.30436727745497422</v>
      </c>
      <c r="K7" s="2" t="s">
        <v>150</v>
      </c>
    </row>
    <row r="8" spans="1:11" ht="15.75" customHeight="1" x14ac:dyDescent="0.15">
      <c r="A8" s="2">
        <v>60</v>
      </c>
      <c r="B8" s="2">
        <v>13.5</v>
      </c>
      <c r="C8" s="8">
        <f t="shared" si="0"/>
        <v>-1.0502301571482169</v>
      </c>
      <c r="E8" s="2" t="s">
        <v>3</v>
      </c>
      <c r="F8" s="2" t="s">
        <v>142</v>
      </c>
    </row>
    <row r="9" spans="1:11" ht="15.75" customHeight="1" x14ac:dyDescent="0.15">
      <c r="A9" s="2">
        <v>75</v>
      </c>
      <c r="B9" s="2">
        <v>25</v>
      </c>
      <c r="C9" s="8">
        <f t="shared" si="0"/>
        <v>-0.22547793441049652</v>
      </c>
      <c r="E9" s="2">
        <v>0</v>
      </c>
    </row>
    <row r="10" spans="1:11" ht="15.75" customHeight="1" x14ac:dyDescent="0.15">
      <c r="A10" s="2">
        <v>90</v>
      </c>
      <c r="B10" s="2">
        <v>12.8</v>
      </c>
      <c r="C10" s="8">
        <f t="shared" si="0"/>
        <v>-1.1004324663583389</v>
      </c>
      <c r="E10" s="2">
        <v>5</v>
      </c>
    </row>
    <row r="11" spans="1:11" ht="15.75" customHeight="1" x14ac:dyDescent="0.15">
      <c r="C11" s="8"/>
      <c r="E11" s="2">
        <v>10</v>
      </c>
    </row>
    <row r="12" spans="1:11" ht="15.75" customHeight="1" x14ac:dyDescent="0.15">
      <c r="A12" s="2" t="s">
        <v>154</v>
      </c>
      <c r="C12" s="8"/>
      <c r="E12" s="2">
        <v>15</v>
      </c>
    </row>
    <row r="13" spans="1:11" ht="15.75" customHeight="1" x14ac:dyDescent="0.15">
      <c r="A13" s="4" t="s">
        <v>3</v>
      </c>
      <c r="B13" s="4" t="s">
        <v>4</v>
      </c>
      <c r="C13" s="4" t="s">
        <v>142</v>
      </c>
      <c r="E13" s="2">
        <v>20</v>
      </c>
    </row>
    <row r="14" spans="1:11" ht="15.75" customHeight="1" x14ac:dyDescent="0.15">
      <c r="A14" s="2">
        <v>5</v>
      </c>
      <c r="B14" s="2">
        <v>19.100000000000001</v>
      </c>
      <c r="C14" s="8">
        <f t="shared" ref="C14:C22" si="1">(B14-$E$3)/$E$2</f>
        <v>-0.64861168346723985</v>
      </c>
      <c r="E14" s="2">
        <v>30</v>
      </c>
    </row>
    <row r="15" spans="1:11" ht="15.75" customHeight="1" x14ac:dyDescent="0.15">
      <c r="A15" s="2">
        <v>10</v>
      </c>
      <c r="B15" s="2">
        <v>14</v>
      </c>
      <c r="C15" s="8">
        <f t="shared" si="1"/>
        <v>-1.0143713648552724</v>
      </c>
      <c r="E15" s="2">
        <v>45</v>
      </c>
    </row>
    <row r="16" spans="1:11" ht="15.75" customHeight="1" x14ac:dyDescent="0.15">
      <c r="A16" s="2">
        <v>15</v>
      </c>
      <c r="B16" s="2">
        <v>10.199999999999999</v>
      </c>
      <c r="C16" s="8">
        <f t="shared" si="1"/>
        <v>-1.2868981862816498</v>
      </c>
      <c r="E16" s="2">
        <v>60</v>
      </c>
    </row>
    <row r="17" spans="1:5" ht="15.75" customHeight="1" x14ac:dyDescent="0.15">
      <c r="A17" s="2">
        <v>20</v>
      </c>
      <c r="B17" s="2">
        <v>13</v>
      </c>
      <c r="C17" s="8">
        <f t="shared" si="1"/>
        <v>-1.0860889494411612</v>
      </c>
      <c r="E17" s="2">
        <v>75</v>
      </c>
    </row>
    <row r="18" spans="1:5" ht="15.75" customHeight="1" x14ac:dyDescent="0.15">
      <c r="A18" s="2">
        <v>30</v>
      </c>
      <c r="B18" s="2">
        <v>26.3</v>
      </c>
      <c r="C18" s="8">
        <f t="shared" si="1"/>
        <v>-0.13224507444884115</v>
      </c>
      <c r="E18" s="2">
        <v>90</v>
      </c>
    </row>
    <row r="19" spans="1:5" ht="15.75" customHeight="1" x14ac:dyDescent="0.15">
      <c r="A19" s="2">
        <v>45</v>
      </c>
      <c r="B19" s="2">
        <v>12.7</v>
      </c>
      <c r="C19" s="8">
        <f t="shared" si="1"/>
        <v>-1.1076042248169278</v>
      </c>
    </row>
    <row r="20" spans="1:5" ht="15.75" customHeight="1" x14ac:dyDescent="0.15">
      <c r="A20" s="2">
        <v>60</v>
      </c>
      <c r="B20" s="2">
        <v>7.4</v>
      </c>
      <c r="C20" s="8">
        <f t="shared" si="1"/>
        <v>-1.4877074231221379</v>
      </c>
    </row>
    <row r="21" spans="1:5" ht="15.75" customHeight="1" x14ac:dyDescent="0.15">
      <c r="A21" s="2">
        <v>75</v>
      </c>
      <c r="B21" s="2">
        <v>18.3</v>
      </c>
      <c r="C21" s="8">
        <f t="shared" si="1"/>
        <v>-0.70598575113595086</v>
      </c>
    </row>
    <row r="22" spans="1:5" ht="15.75" customHeight="1" x14ac:dyDescent="0.15">
      <c r="A22" s="2">
        <v>90</v>
      </c>
      <c r="B22" s="2">
        <v>11.2</v>
      </c>
      <c r="C22" s="8">
        <f t="shared" si="1"/>
        <v>-1.2151806016957609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G28"/>
  <sheetViews>
    <sheetView workbookViewId="0"/>
  </sheetViews>
  <sheetFormatPr baseColWidth="10" defaultColWidth="12.6640625" defaultRowHeight="15.75" customHeight="1" x14ac:dyDescent="0.15"/>
  <cols>
    <col min="1" max="1" width="9.6640625" customWidth="1"/>
    <col min="3" max="3" width="16.1640625" customWidth="1"/>
    <col min="4" max="4" width="19.33203125" customWidth="1"/>
  </cols>
  <sheetData>
    <row r="1" spans="1:7" ht="15.75" customHeight="1" x14ac:dyDescent="0.15">
      <c r="A1" s="4" t="s">
        <v>3</v>
      </c>
      <c r="B1" s="4" t="s">
        <v>4</v>
      </c>
      <c r="C1" s="4" t="s">
        <v>5</v>
      </c>
      <c r="D1" s="4" t="s">
        <v>155</v>
      </c>
      <c r="F1" s="2" t="s">
        <v>121</v>
      </c>
      <c r="G1" s="2" t="s">
        <v>143</v>
      </c>
    </row>
    <row r="2" spans="1:7" ht="15.75" customHeight="1" x14ac:dyDescent="0.15">
      <c r="A2" s="2">
        <v>1</v>
      </c>
      <c r="B2" s="2">
        <v>272.5</v>
      </c>
      <c r="C2" s="8">
        <f t="shared" ref="C2:C13" si="0">(B2-$F$3)/$F$2</f>
        <v>17.524624250596961</v>
      </c>
      <c r="D2" s="8">
        <f t="shared" ref="D2:D13" si="1">C2*2</f>
        <v>35.049248501193922</v>
      </c>
      <c r="F2" s="2">
        <v>13.943581699999999</v>
      </c>
      <c r="G2" s="2" t="s">
        <v>9</v>
      </c>
    </row>
    <row r="3" spans="1:7" ht="15.75" customHeight="1" x14ac:dyDescent="0.15">
      <c r="A3" s="2">
        <v>5</v>
      </c>
      <c r="B3" s="2">
        <v>584.1</v>
      </c>
      <c r="C3" s="8">
        <f t="shared" si="0"/>
        <v>39.87182360755989</v>
      </c>
      <c r="D3" s="8">
        <f t="shared" si="1"/>
        <v>79.743647215119779</v>
      </c>
      <c r="F3" s="2">
        <v>28.143969999999999</v>
      </c>
      <c r="G3" s="2" t="s">
        <v>11</v>
      </c>
    </row>
    <row r="4" spans="1:7" ht="15.75" customHeight="1" x14ac:dyDescent="0.15">
      <c r="A4" s="24">
        <v>10</v>
      </c>
      <c r="B4" s="24">
        <v>1166.9000000000001</v>
      </c>
      <c r="C4" s="25">
        <f t="shared" si="0"/>
        <v>81.668831904215835</v>
      </c>
      <c r="D4" s="25">
        <f t="shared" si="1"/>
        <v>163.33766380843167</v>
      </c>
      <c r="E4" s="2" t="s">
        <v>156</v>
      </c>
    </row>
    <row r="5" spans="1:7" ht="15.75" customHeight="1" x14ac:dyDescent="0.15">
      <c r="A5" s="2">
        <v>15</v>
      </c>
      <c r="B5" s="2">
        <v>597.20000000000005</v>
      </c>
      <c r="C5" s="8">
        <f t="shared" si="0"/>
        <v>40.811323965635033</v>
      </c>
      <c r="D5" s="8">
        <f t="shared" si="1"/>
        <v>81.622647931270066</v>
      </c>
    </row>
    <row r="6" spans="1:7" ht="15.75" customHeight="1" x14ac:dyDescent="0.15">
      <c r="A6" s="2">
        <v>20</v>
      </c>
      <c r="B6" s="2">
        <v>709.8</v>
      </c>
      <c r="C6" s="8">
        <f t="shared" si="0"/>
        <v>48.886723990006097</v>
      </c>
      <c r="D6" s="8">
        <f t="shared" si="1"/>
        <v>97.773447980012193</v>
      </c>
    </row>
    <row r="7" spans="1:7" ht="15.75" customHeight="1" x14ac:dyDescent="0.15">
      <c r="A7" s="2">
        <v>25</v>
      </c>
      <c r="B7" s="2">
        <v>713.7</v>
      </c>
      <c r="C7" s="8">
        <f t="shared" si="0"/>
        <v>49.166422569891068</v>
      </c>
      <c r="D7" s="8">
        <f t="shared" si="1"/>
        <v>98.332845139782137</v>
      </c>
    </row>
    <row r="8" spans="1:7" ht="15.75" customHeight="1" x14ac:dyDescent="0.15">
      <c r="A8" s="2">
        <v>30</v>
      </c>
      <c r="B8" s="2">
        <v>730</v>
      </c>
      <c r="C8" s="8">
        <f t="shared" si="0"/>
        <v>50.335419198641056</v>
      </c>
      <c r="D8" s="8">
        <f t="shared" si="1"/>
        <v>100.67083839728211</v>
      </c>
      <c r="F8" s="2" t="s">
        <v>3</v>
      </c>
      <c r="G8" s="2" t="s">
        <v>142</v>
      </c>
    </row>
    <row r="9" spans="1:7" ht="15.75" customHeight="1" x14ac:dyDescent="0.15">
      <c r="A9" s="2">
        <v>40</v>
      </c>
      <c r="B9" s="2">
        <v>821.4</v>
      </c>
      <c r="C9" s="8">
        <f t="shared" si="0"/>
        <v>56.890406429791284</v>
      </c>
      <c r="D9" s="8">
        <f t="shared" si="1"/>
        <v>113.78081285958257</v>
      </c>
      <c r="F9" s="2">
        <v>1</v>
      </c>
      <c r="G9" s="2">
        <v>35.049248501193922</v>
      </c>
    </row>
    <row r="10" spans="1:7" ht="15.75" customHeight="1" x14ac:dyDescent="0.15">
      <c r="A10" s="2">
        <v>50</v>
      </c>
      <c r="B10" s="2">
        <v>822.4</v>
      </c>
      <c r="C10" s="8">
        <f t="shared" si="0"/>
        <v>56.962124014377167</v>
      </c>
      <c r="D10" s="8">
        <f t="shared" si="1"/>
        <v>113.92424802875433</v>
      </c>
      <c r="F10" s="2">
        <v>5</v>
      </c>
      <c r="G10" s="2">
        <v>79.743647215119779</v>
      </c>
    </row>
    <row r="11" spans="1:7" ht="15.75" customHeight="1" x14ac:dyDescent="0.15">
      <c r="A11" s="2">
        <v>60</v>
      </c>
      <c r="B11" s="2">
        <v>906.9</v>
      </c>
      <c r="C11" s="8">
        <f t="shared" si="0"/>
        <v>63.022259911884767</v>
      </c>
      <c r="D11" s="8">
        <f t="shared" si="1"/>
        <v>126.04451982376953</v>
      </c>
      <c r="F11" s="2">
        <v>15</v>
      </c>
      <c r="G11" s="2">
        <v>81.622647931270066</v>
      </c>
    </row>
    <row r="12" spans="1:7" ht="15.75" customHeight="1" x14ac:dyDescent="0.15">
      <c r="A12" s="2">
        <v>75</v>
      </c>
      <c r="B12" s="2">
        <v>727</v>
      </c>
      <c r="C12" s="8">
        <f t="shared" si="0"/>
        <v>50.120266444883391</v>
      </c>
      <c r="D12" s="8">
        <f t="shared" si="1"/>
        <v>100.24053288976678</v>
      </c>
      <c r="F12" s="2">
        <v>20</v>
      </c>
      <c r="G12" s="2">
        <v>97.773447980012193</v>
      </c>
    </row>
    <row r="13" spans="1:7" ht="15.75" customHeight="1" x14ac:dyDescent="0.15">
      <c r="A13" s="2">
        <v>90</v>
      </c>
      <c r="B13" s="2">
        <v>1183.2</v>
      </c>
      <c r="C13" s="8">
        <f t="shared" si="0"/>
        <v>82.837828532965815</v>
      </c>
      <c r="D13" s="8">
        <f t="shared" si="1"/>
        <v>165.67565706593163</v>
      </c>
      <c r="F13" s="2">
        <v>25</v>
      </c>
      <c r="G13" s="2">
        <v>98.332845139782137</v>
      </c>
    </row>
    <row r="14" spans="1:7" ht="15.75" customHeight="1" x14ac:dyDescent="0.15">
      <c r="F14" s="2">
        <v>30</v>
      </c>
      <c r="G14" s="2">
        <v>100.67083839728211</v>
      </c>
    </row>
    <row r="15" spans="1:7" ht="15.75" customHeight="1" x14ac:dyDescent="0.15">
      <c r="F15" s="2">
        <v>40</v>
      </c>
      <c r="G15" s="2">
        <v>113.78081285958257</v>
      </c>
    </row>
    <row r="16" spans="1:7" ht="15.75" customHeight="1" x14ac:dyDescent="0.15">
      <c r="F16" s="2">
        <v>50</v>
      </c>
      <c r="G16" s="2">
        <v>113.92424802875433</v>
      </c>
    </row>
    <row r="17" spans="1:7" ht="15.75" customHeight="1" x14ac:dyDescent="0.15">
      <c r="F17" s="2">
        <v>60</v>
      </c>
      <c r="G17" s="2">
        <v>126.04451982376953</v>
      </c>
    </row>
    <row r="18" spans="1:7" ht="15.75" customHeight="1" x14ac:dyDescent="0.15">
      <c r="F18" s="2">
        <v>90</v>
      </c>
      <c r="G18" s="2">
        <v>165.67565706593163</v>
      </c>
    </row>
    <row r="28" spans="1:7" ht="15.75" customHeight="1" x14ac:dyDescent="0.15">
      <c r="A28" s="2" t="s">
        <v>157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G18"/>
  <sheetViews>
    <sheetView workbookViewId="0"/>
  </sheetViews>
  <sheetFormatPr baseColWidth="10" defaultColWidth="12.6640625" defaultRowHeight="15.75" customHeight="1" x14ac:dyDescent="0.15"/>
  <cols>
    <col min="1" max="1" width="9.6640625" customWidth="1"/>
    <col min="3" max="3" width="16.1640625" customWidth="1"/>
    <col min="4" max="4" width="19.33203125" customWidth="1"/>
  </cols>
  <sheetData>
    <row r="1" spans="1:7" ht="15.75" customHeight="1" x14ac:dyDescent="0.15">
      <c r="A1" s="4" t="s">
        <v>3</v>
      </c>
      <c r="B1" s="4" t="s">
        <v>4</v>
      </c>
      <c r="C1" s="4" t="s">
        <v>5</v>
      </c>
      <c r="D1" s="4" t="s">
        <v>155</v>
      </c>
      <c r="F1" s="2" t="s">
        <v>121</v>
      </c>
      <c r="G1" s="2" t="s">
        <v>143</v>
      </c>
    </row>
    <row r="2" spans="1:7" ht="15.75" customHeight="1" x14ac:dyDescent="0.15">
      <c r="A2" s="2">
        <v>1</v>
      </c>
      <c r="B2" s="2">
        <v>204.6</v>
      </c>
      <c r="C2" s="8">
        <f t="shared" ref="C2:C13" si="0">(B2-$F$3)/$F$2</f>
        <v>12.655000257215118</v>
      </c>
      <c r="D2" s="8">
        <f t="shared" ref="D2:D13" si="1">C2*2</f>
        <v>25.310000514430236</v>
      </c>
      <c r="F2" s="2">
        <v>13.943581699999999</v>
      </c>
      <c r="G2" s="2" t="s">
        <v>9</v>
      </c>
    </row>
    <row r="3" spans="1:7" ht="15.75" customHeight="1" x14ac:dyDescent="0.15">
      <c r="A3" s="2">
        <v>5</v>
      </c>
      <c r="B3" s="2">
        <v>226.2</v>
      </c>
      <c r="C3" s="8">
        <f t="shared" si="0"/>
        <v>14.204100084270314</v>
      </c>
      <c r="D3" s="8">
        <f t="shared" si="1"/>
        <v>28.408200168540628</v>
      </c>
      <c r="F3" s="2">
        <v>28.143969999999999</v>
      </c>
      <c r="G3" s="2" t="s">
        <v>11</v>
      </c>
    </row>
    <row r="4" spans="1:7" ht="15.75" customHeight="1" x14ac:dyDescent="0.15">
      <c r="A4" s="2">
        <v>10</v>
      </c>
      <c r="B4" s="2">
        <v>666.9</v>
      </c>
      <c r="C4" s="8">
        <f t="shared" si="0"/>
        <v>45.810039611271478</v>
      </c>
      <c r="D4" s="8">
        <f t="shared" si="1"/>
        <v>91.620079222542955</v>
      </c>
    </row>
    <row r="5" spans="1:7" ht="15.75" customHeight="1" x14ac:dyDescent="0.15">
      <c r="A5" s="2">
        <v>15</v>
      </c>
      <c r="B5" s="2">
        <v>410.9</v>
      </c>
      <c r="C5" s="8">
        <f t="shared" si="0"/>
        <v>27.450337957283956</v>
      </c>
      <c r="D5" s="8">
        <f t="shared" si="1"/>
        <v>54.900675914567913</v>
      </c>
    </row>
    <row r="6" spans="1:7" ht="15.75" customHeight="1" x14ac:dyDescent="0.15">
      <c r="A6" s="2">
        <v>20</v>
      </c>
      <c r="B6" s="2">
        <v>215.8</v>
      </c>
      <c r="C6" s="8">
        <f t="shared" si="0"/>
        <v>13.458237204577072</v>
      </c>
      <c r="D6" s="8">
        <f t="shared" si="1"/>
        <v>26.916474409154144</v>
      </c>
    </row>
    <row r="7" spans="1:7" ht="15.75" customHeight="1" x14ac:dyDescent="0.15">
      <c r="A7" s="2">
        <v>25</v>
      </c>
      <c r="B7" s="2">
        <v>512.6</v>
      </c>
      <c r="C7" s="8">
        <f t="shared" si="0"/>
        <v>34.744016309668844</v>
      </c>
      <c r="D7" s="8">
        <f t="shared" si="1"/>
        <v>69.488032619337687</v>
      </c>
    </row>
    <row r="8" spans="1:7" ht="15.75" customHeight="1" x14ac:dyDescent="0.15">
      <c r="A8" s="2">
        <v>30</v>
      </c>
      <c r="B8" s="2">
        <v>456.5</v>
      </c>
      <c r="C8" s="8">
        <f t="shared" si="0"/>
        <v>30.720659814400484</v>
      </c>
      <c r="D8" s="8">
        <f t="shared" si="1"/>
        <v>61.441319628800969</v>
      </c>
      <c r="F8" s="2" t="s">
        <v>3</v>
      </c>
      <c r="G8" s="2" t="s">
        <v>142</v>
      </c>
    </row>
    <row r="9" spans="1:7" ht="15.75" customHeight="1" x14ac:dyDescent="0.15">
      <c r="A9" s="2">
        <v>40</v>
      </c>
      <c r="B9" s="2">
        <v>521.29999999999995</v>
      </c>
      <c r="C9" s="8">
        <f t="shared" si="0"/>
        <v>35.367959295566074</v>
      </c>
      <c r="D9" s="8">
        <f t="shared" si="1"/>
        <v>70.735918591132148</v>
      </c>
      <c r="F9" s="2">
        <v>1</v>
      </c>
      <c r="G9" s="2">
        <v>35.049248501193922</v>
      </c>
    </row>
    <row r="10" spans="1:7" ht="15.75" customHeight="1" x14ac:dyDescent="0.15">
      <c r="A10" s="2">
        <v>50</v>
      </c>
      <c r="B10" s="2">
        <v>569.5</v>
      </c>
      <c r="C10" s="8">
        <f t="shared" si="0"/>
        <v>38.824746872605914</v>
      </c>
      <c r="D10" s="8">
        <f t="shared" si="1"/>
        <v>77.649493745211828</v>
      </c>
      <c r="F10" s="2">
        <v>5</v>
      </c>
      <c r="G10" s="2">
        <v>79.743647215119779</v>
      </c>
    </row>
    <row r="11" spans="1:7" ht="15.75" customHeight="1" x14ac:dyDescent="0.15">
      <c r="A11" s="2">
        <v>60</v>
      </c>
      <c r="B11" s="2">
        <v>325.60000000000002</v>
      </c>
      <c r="C11" s="8">
        <f t="shared" si="0"/>
        <v>21.332827992107653</v>
      </c>
      <c r="D11" s="8">
        <f t="shared" si="1"/>
        <v>42.665655984215306</v>
      </c>
      <c r="F11" s="2">
        <v>15</v>
      </c>
      <c r="G11" s="2">
        <v>81.622647931270066</v>
      </c>
    </row>
    <row r="12" spans="1:7" ht="15.75" customHeight="1" x14ac:dyDescent="0.15">
      <c r="A12" s="2">
        <v>75</v>
      </c>
      <c r="B12" s="2">
        <v>285.5</v>
      </c>
      <c r="C12" s="8">
        <f t="shared" si="0"/>
        <v>18.456952850213515</v>
      </c>
      <c r="D12" s="8">
        <f t="shared" si="1"/>
        <v>36.91390570042703</v>
      </c>
      <c r="F12" s="2">
        <v>20</v>
      </c>
      <c r="G12" s="2">
        <v>97.773447980012193</v>
      </c>
    </row>
    <row r="13" spans="1:7" ht="15.75" customHeight="1" x14ac:dyDescent="0.15">
      <c r="A13" s="2">
        <v>90</v>
      </c>
      <c r="B13" s="2">
        <v>375.4</v>
      </c>
      <c r="C13" s="8">
        <f t="shared" si="0"/>
        <v>24.904363704484908</v>
      </c>
      <c r="D13" s="8">
        <f t="shared" si="1"/>
        <v>49.808727408969816</v>
      </c>
      <c r="F13" s="2">
        <v>25</v>
      </c>
      <c r="G13" s="2">
        <v>98.332845139782137</v>
      </c>
    </row>
    <row r="14" spans="1:7" ht="15.75" customHeight="1" x14ac:dyDescent="0.15">
      <c r="F14" s="2">
        <v>30</v>
      </c>
      <c r="G14" s="2">
        <v>100.67083839728211</v>
      </c>
    </row>
    <row r="15" spans="1:7" ht="15.75" customHeight="1" x14ac:dyDescent="0.15">
      <c r="F15" s="2">
        <v>40</v>
      </c>
      <c r="G15" s="2">
        <v>113.78081285958257</v>
      </c>
    </row>
    <row r="16" spans="1:7" ht="15.75" customHeight="1" x14ac:dyDescent="0.15">
      <c r="F16" s="2">
        <v>50</v>
      </c>
      <c r="G16" s="2">
        <v>113.92424802875433</v>
      </c>
    </row>
    <row r="18" spans="4:4" ht="15.75" customHeight="1" x14ac:dyDescent="0.15">
      <c r="D18" s="2" t="s">
        <v>157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G57"/>
  <sheetViews>
    <sheetView workbookViewId="0"/>
  </sheetViews>
  <sheetFormatPr baseColWidth="10" defaultColWidth="12.6640625" defaultRowHeight="15.75" customHeight="1" x14ac:dyDescent="0.15"/>
  <cols>
    <col min="1" max="1" width="16.1640625" customWidth="1"/>
  </cols>
  <sheetData>
    <row r="1" spans="1:6" ht="15.75" customHeight="1" x14ac:dyDescent="0.15">
      <c r="A1" s="26" t="s">
        <v>158</v>
      </c>
      <c r="B1" s="26" t="s">
        <v>159</v>
      </c>
      <c r="C1" s="26" t="s">
        <v>160</v>
      </c>
    </row>
    <row r="2" spans="1:6" ht="15.75" customHeight="1" x14ac:dyDescent="0.15">
      <c r="A2" s="23">
        <v>25</v>
      </c>
      <c r="B2" s="23">
        <v>0.99704999999999999</v>
      </c>
      <c r="C2" s="27">
        <f>(C3*B2)/B3</f>
        <v>250.92866634452764</v>
      </c>
      <c r="D2" s="28" t="s">
        <v>161</v>
      </c>
    </row>
    <row r="3" spans="1:6" ht="15.75" customHeight="1" x14ac:dyDescent="0.15">
      <c r="A3" s="23">
        <v>37</v>
      </c>
      <c r="B3" s="23">
        <v>0.99336000000000002</v>
      </c>
      <c r="C3" s="23">
        <v>250</v>
      </c>
      <c r="D3" s="28" t="s">
        <v>162</v>
      </c>
    </row>
    <row r="10" spans="1:6" ht="15.75" customHeight="1" x14ac:dyDescent="0.15">
      <c r="A10" s="39" t="s">
        <v>163</v>
      </c>
      <c r="B10" s="35"/>
      <c r="C10" s="35"/>
      <c r="D10" s="35"/>
      <c r="E10" s="35"/>
      <c r="F10" s="2" t="s">
        <v>164</v>
      </c>
    </row>
    <row r="11" spans="1:6" ht="15.75" customHeight="1" x14ac:dyDescent="0.15">
      <c r="B11" s="2" t="s">
        <v>60</v>
      </c>
      <c r="C11" s="2" t="s">
        <v>61</v>
      </c>
      <c r="D11" s="2" t="s">
        <v>165</v>
      </c>
    </row>
    <row r="12" spans="1:6" ht="15.75" customHeight="1" x14ac:dyDescent="0.15">
      <c r="A12" s="2" t="s">
        <v>64</v>
      </c>
      <c r="B12" s="2">
        <v>555.70000000000005</v>
      </c>
      <c r="C12" s="2">
        <v>3</v>
      </c>
      <c r="D12" s="7">
        <f t="shared" ref="D12:D17" si="0">$B$20*C12*B12</f>
        <v>833.55000000000007</v>
      </c>
    </row>
    <row r="13" spans="1:6" ht="15.75" customHeight="1" x14ac:dyDescent="0.15">
      <c r="A13" s="2" t="s">
        <v>65</v>
      </c>
      <c r="B13" s="2">
        <v>750</v>
      </c>
      <c r="C13" s="2">
        <v>0.2</v>
      </c>
      <c r="D13" s="7">
        <f t="shared" si="0"/>
        <v>75</v>
      </c>
    </row>
    <row r="14" spans="1:6" ht="15.75" customHeight="1" x14ac:dyDescent="0.15">
      <c r="A14" s="2" t="s">
        <v>166</v>
      </c>
      <c r="B14" s="2">
        <v>304.5</v>
      </c>
      <c r="C14" s="2">
        <v>0</v>
      </c>
      <c r="D14" s="7">
        <f t="shared" si="0"/>
        <v>0</v>
      </c>
    </row>
    <row r="15" spans="1:6" x14ac:dyDescent="0.2">
      <c r="A15" s="2" t="s">
        <v>167</v>
      </c>
      <c r="B15" s="29">
        <v>116.1</v>
      </c>
      <c r="C15" s="2">
        <v>19</v>
      </c>
      <c r="D15" s="7">
        <f t="shared" si="0"/>
        <v>1102.95</v>
      </c>
    </row>
    <row r="16" spans="1:6" ht="15.75" customHeight="1" x14ac:dyDescent="0.15">
      <c r="A16" s="2" t="s">
        <v>68</v>
      </c>
      <c r="B16" s="2">
        <v>40</v>
      </c>
      <c r="C16" s="2">
        <v>34</v>
      </c>
      <c r="D16" s="7">
        <f t="shared" si="0"/>
        <v>680</v>
      </c>
    </row>
    <row r="17" spans="1:6" ht="15.75" customHeight="1" x14ac:dyDescent="0.15">
      <c r="A17" s="2" t="s">
        <v>70</v>
      </c>
      <c r="B17" s="2">
        <v>58.44</v>
      </c>
      <c r="C17" s="2">
        <v>69</v>
      </c>
      <c r="D17" s="7">
        <f t="shared" si="0"/>
        <v>2016.1799999999998</v>
      </c>
    </row>
    <row r="20" spans="1:6" ht="15.75" customHeight="1" x14ac:dyDescent="0.15">
      <c r="A20" s="2" t="s">
        <v>71</v>
      </c>
      <c r="B20" s="2">
        <v>0.5</v>
      </c>
    </row>
    <row r="23" spans="1:6" ht="15.75" customHeight="1" x14ac:dyDescent="0.15">
      <c r="A23" s="39" t="s">
        <v>168</v>
      </c>
      <c r="B23" s="35"/>
      <c r="C23" s="35"/>
      <c r="D23" s="35"/>
      <c r="E23" s="35"/>
      <c r="F23" s="2" t="s">
        <v>164</v>
      </c>
    </row>
    <row r="24" spans="1:6" ht="15.75" customHeight="1" x14ac:dyDescent="0.15">
      <c r="B24" s="2" t="s">
        <v>60</v>
      </c>
      <c r="C24" s="2" t="s">
        <v>61</v>
      </c>
      <c r="D24" s="2" t="s">
        <v>62</v>
      </c>
    </row>
    <row r="25" spans="1:6" ht="15.75" customHeight="1" x14ac:dyDescent="0.15">
      <c r="A25" s="2" t="s">
        <v>64</v>
      </c>
      <c r="B25" s="2">
        <v>555.70000000000005</v>
      </c>
      <c r="C25" s="2">
        <v>10</v>
      </c>
      <c r="D25" s="15">
        <f t="shared" ref="D25:D31" si="1">$B$34*C25*B25/1000</f>
        <v>5.5570000000000004</v>
      </c>
    </row>
    <row r="26" spans="1:6" ht="15.75" customHeight="1" x14ac:dyDescent="0.15">
      <c r="A26" s="2" t="s">
        <v>65</v>
      </c>
      <c r="B26" s="2">
        <v>750</v>
      </c>
      <c r="C26" s="2">
        <v>2</v>
      </c>
      <c r="D26" s="15">
        <f t="shared" si="1"/>
        <v>1.5</v>
      </c>
    </row>
    <row r="27" spans="1:6" ht="15.75" customHeight="1" x14ac:dyDescent="0.15">
      <c r="A27" s="30" t="s">
        <v>169</v>
      </c>
      <c r="B27" s="31">
        <v>356.54</v>
      </c>
      <c r="C27" s="30">
        <v>5</v>
      </c>
      <c r="D27" s="32">
        <f t="shared" si="1"/>
        <v>1.7827</v>
      </c>
      <c r="E27" s="2" t="s">
        <v>170</v>
      </c>
    </row>
    <row r="28" spans="1:6" ht="15.75" customHeight="1" x14ac:dyDescent="0.15">
      <c r="A28" s="2" t="s">
        <v>166</v>
      </c>
      <c r="B28" s="2">
        <v>304.5</v>
      </c>
      <c r="C28" s="2">
        <v>0</v>
      </c>
      <c r="D28" s="15">
        <f t="shared" si="1"/>
        <v>0</v>
      </c>
    </row>
    <row r="29" spans="1:6" x14ac:dyDescent="0.2">
      <c r="A29" s="2" t="s">
        <v>167</v>
      </c>
      <c r="B29" s="29">
        <v>116.1</v>
      </c>
      <c r="C29" s="2">
        <v>55.02</v>
      </c>
      <c r="D29" s="15">
        <f t="shared" si="1"/>
        <v>6.3878219999999999</v>
      </c>
    </row>
    <row r="30" spans="1:6" ht="15.75" customHeight="1" x14ac:dyDescent="0.15">
      <c r="A30" s="2" t="s">
        <v>68</v>
      </c>
      <c r="B30" s="2">
        <v>40</v>
      </c>
      <c r="C30" s="2">
        <v>34</v>
      </c>
      <c r="D30" s="15">
        <f t="shared" si="1"/>
        <v>1.36</v>
      </c>
    </row>
    <row r="31" spans="1:6" ht="15.75" customHeight="1" x14ac:dyDescent="0.15">
      <c r="A31" s="2" t="s">
        <v>70</v>
      </c>
      <c r="B31" s="2">
        <v>58.44</v>
      </c>
      <c r="C31" s="2">
        <v>69</v>
      </c>
      <c r="D31" s="15">
        <f t="shared" si="1"/>
        <v>4.0323599999999997</v>
      </c>
    </row>
    <row r="34" spans="1:7" ht="15.75" customHeight="1" x14ac:dyDescent="0.15">
      <c r="A34" s="2" t="s">
        <v>71</v>
      </c>
      <c r="B34" s="2">
        <v>1</v>
      </c>
    </row>
    <row r="36" spans="1:7" ht="15.75" customHeight="1" x14ac:dyDescent="0.15">
      <c r="A36" s="38" t="s">
        <v>59</v>
      </c>
      <c r="B36" s="35"/>
      <c r="C36" s="35"/>
      <c r="D36" s="35"/>
      <c r="E36" s="35"/>
      <c r="F36" s="2" t="s">
        <v>171</v>
      </c>
      <c r="G36" s="2" t="s">
        <v>172</v>
      </c>
    </row>
    <row r="37" spans="1:7" ht="15.75" customHeight="1" x14ac:dyDescent="0.15">
      <c r="B37" s="2" t="s">
        <v>60</v>
      </c>
      <c r="C37" s="2" t="s">
        <v>61</v>
      </c>
      <c r="D37" s="2" t="s">
        <v>62</v>
      </c>
    </row>
    <row r="38" spans="1:7" ht="15.75" customHeight="1" x14ac:dyDescent="0.15">
      <c r="A38" s="2" t="s">
        <v>64</v>
      </c>
      <c r="B38" s="2">
        <v>555.70000000000005</v>
      </c>
      <c r="C38" s="2">
        <v>15</v>
      </c>
      <c r="D38" s="15">
        <f t="shared" ref="D38:D42" si="2">$B$45*C38*B38/1000</f>
        <v>4.1677499999999998</v>
      </c>
    </row>
    <row r="39" spans="1:7" ht="15.75" customHeight="1" x14ac:dyDescent="0.15">
      <c r="A39" s="2" t="s">
        <v>65</v>
      </c>
      <c r="B39" s="2">
        <v>750</v>
      </c>
      <c r="C39" s="2">
        <v>3.75</v>
      </c>
      <c r="D39" s="15">
        <f t="shared" si="2"/>
        <v>1.40625</v>
      </c>
    </row>
    <row r="40" spans="1:7" x14ac:dyDescent="0.2">
      <c r="A40" s="2" t="s">
        <v>66</v>
      </c>
      <c r="B40" s="29">
        <v>60.052</v>
      </c>
      <c r="C40" s="7">
        <f t="shared" ref="C40:C42" si="3">E40/B40*1000</f>
        <v>144.04183041364152</v>
      </c>
      <c r="D40" s="15">
        <f t="shared" si="2"/>
        <v>4.3250000000000002</v>
      </c>
      <c r="E40" s="2">
        <v>8.65</v>
      </c>
    </row>
    <row r="41" spans="1:7" ht="15.75" customHeight="1" x14ac:dyDescent="0.15">
      <c r="A41" s="2" t="s">
        <v>68</v>
      </c>
      <c r="B41" s="2">
        <v>40</v>
      </c>
      <c r="C41" s="7">
        <f t="shared" si="3"/>
        <v>101</v>
      </c>
      <c r="D41" s="15">
        <f t="shared" si="2"/>
        <v>2.02</v>
      </c>
      <c r="E41" s="2">
        <v>4.04</v>
      </c>
    </row>
    <row r="42" spans="1:7" ht="15.75" customHeight="1" x14ac:dyDescent="0.15">
      <c r="A42" s="2" t="s">
        <v>70</v>
      </c>
      <c r="B42" s="2">
        <v>58.44</v>
      </c>
      <c r="C42" s="7">
        <f t="shared" si="3"/>
        <v>203.1827515400411</v>
      </c>
      <c r="D42" s="15">
        <f t="shared" si="2"/>
        <v>5.9370000000000012</v>
      </c>
      <c r="E42" s="2">
        <v>11.874000000000001</v>
      </c>
    </row>
    <row r="45" spans="1:7" ht="15.75" customHeight="1" x14ac:dyDescent="0.15">
      <c r="A45" s="2" t="s">
        <v>71</v>
      </c>
      <c r="B45" s="2">
        <v>0.5</v>
      </c>
      <c r="D45" s="2" t="s">
        <v>72</v>
      </c>
      <c r="E45" s="7">
        <v>5</v>
      </c>
    </row>
    <row r="48" spans="1:7" ht="15.75" customHeight="1" x14ac:dyDescent="0.15">
      <c r="A48" s="38" t="s">
        <v>173</v>
      </c>
      <c r="B48" s="35"/>
      <c r="C48" s="35"/>
      <c r="D48" s="35"/>
      <c r="E48" s="35"/>
    </row>
    <row r="49" spans="1:5" ht="15.75" customHeight="1" x14ac:dyDescent="0.15">
      <c r="B49" s="2" t="s">
        <v>60</v>
      </c>
      <c r="C49" s="2" t="s">
        <v>61</v>
      </c>
      <c r="D49" s="2" t="s">
        <v>62</v>
      </c>
    </row>
    <row r="50" spans="1:5" x14ac:dyDescent="0.2">
      <c r="A50" s="2" t="s">
        <v>66</v>
      </c>
      <c r="B50" s="29">
        <v>60.052</v>
      </c>
      <c r="C50" s="7">
        <v>17.12</v>
      </c>
      <c r="D50" s="15">
        <f t="shared" ref="D50:D52" si="4">$B$45*C50*B50/1000</f>
        <v>0.51404512000000002</v>
      </c>
    </row>
    <row r="51" spans="1:5" x14ac:dyDescent="0.2">
      <c r="A51" s="2" t="s">
        <v>174</v>
      </c>
      <c r="B51" s="29">
        <v>82.034300000000002</v>
      </c>
      <c r="C51" s="7">
        <v>29.75</v>
      </c>
      <c r="D51" s="15">
        <f t="shared" si="4"/>
        <v>1.2202602125000002</v>
      </c>
    </row>
    <row r="52" spans="1:5" ht="15.75" customHeight="1" x14ac:dyDescent="0.15">
      <c r="A52" s="2" t="s">
        <v>70</v>
      </c>
      <c r="B52" s="2">
        <v>58.44</v>
      </c>
      <c r="C52" s="7">
        <v>237</v>
      </c>
      <c r="D52" s="15">
        <f t="shared" si="4"/>
        <v>6.9251399999999999</v>
      </c>
    </row>
    <row r="53" spans="1:5" ht="15.75" customHeight="1" x14ac:dyDescent="0.15">
      <c r="A53" s="2" t="s">
        <v>175</v>
      </c>
      <c r="C53" s="33">
        <v>0.5</v>
      </c>
      <c r="D53" s="2" t="s">
        <v>49</v>
      </c>
    </row>
    <row r="57" spans="1:5" ht="15.75" customHeight="1" x14ac:dyDescent="0.15">
      <c r="A57" s="2" t="s">
        <v>71</v>
      </c>
      <c r="B57" s="2">
        <v>0.5</v>
      </c>
      <c r="D57" s="2" t="s">
        <v>72</v>
      </c>
      <c r="E57" s="7">
        <v>5</v>
      </c>
    </row>
  </sheetData>
  <mergeCells count="4">
    <mergeCell ref="A10:E10"/>
    <mergeCell ref="A23:E23"/>
    <mergeCell ref="A36:E36"/>
    <mergeCell ref="A48:E48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2:I24"/>
  <sheetViews>
    <sheetView workbookViewId="0"/>
  </sheetViews>
  <sheetFormatPr baseColWidth="10" defaultColWidth="12.6640625" defaultRowHeight="15.75" customHeight="1" x14ac:dyDescent="0.15"/>
  <sheetData>
    <row r="2" spans="1:9" ht="15.75" customHeight="1" x14ac:dyDescent="0.15">
      <c r="H2" s="2" t="s">
        <v>176</v>
      </c>
      <c r="I2" s="2">
        <v>0.91</v>
      </c>
    </row>
    <row r="3" spans="1:9" ht="15.75" customHeight="1" x14ac:dyDescent="0.15">
      <c r="A3" s="2" t="s">
        <v>177</v>
      </c>
      <c r="H3" s="2" t="s">
        <v>178</v>
      </c>
      <c r="I3" s="2">
        <v>3.84</v>
      </c>
    </row>
    <row r="4" spans="1:9" ht="15.75" customHeight="1" x14ac:dyDescent="0.15">
      <c r="B4" s="2" t="s">
        <v>179</v>
      </c>
      <c r="D4" s="2" t="s">
        <v>180</v>
      </c>
    </row>
    <row r="5" spans="1:9" ht="15.75" customHeight="1" x14ac:dyDescent="0.15">
      <c r="A5" s="2" t="s">
        <v>181</v>
      </c>
      <c r="B5" s="2">
        <v>6708.1</v>
      </c>
      <c r="C5" s="2">
        <f>B5/B6</f>
        <v>149.06888888888889</v>
      </c>
      <c r="D5" s="2">
        <f>LOG(C5)</f>
        <v>2.1733870143871599</v>
      </c>
    </row>
    <row r="6" spans="1:9" ht="15.75" customHeight="1" x14ac:dyDescent="0.15">
      <c r="A6" s="2" t="s">
        <v>182</v>
      </c>
      <c r="B6" s="2">
        <v>45</v>
      </c>
    </row>
    <row r="8" spans="1:9" ht="15.75" customHeight="1" x14ac:dyDescent="0.15">
      <c r="A8" s="2" t="s">
        <v>183</v>
      </c>
    </row>
    <row r="9" spans="1:9" ht="15.75" customHeight="1" x14ac:dyDescent="0.15">
      <c r="B9" s="2" t="s">
        <v>184</v>
      </c>
    </row>
    <row r="10" spans="1:9" ht="15.75" customHeight="1" x14ac:dyDescent="0.15">
      <c r="A10" s="2" t="s">
        <v>181</v>
      </c>
      <c r="B10" s="2">
        <v>1618.5</v>
      </c>
      <c r="C10" s="2">
        <f>B10/B11</f>
        <v>91.440677966101703</v>
      </c>
      <c r="D10" s="2">
        <f>LOG(C10)</f>
        <v>1.9611394373767854</v>
      </c>
    </row>
    <row r="11" spans="1:9" ht="15.75" customHeight="1" x14ac:dyDescent="0.15">
      <c r="A11" s="2" t="s">
        <v>182</v>
      </c>
      <c r="B11" s="2">
        <v>17.7</v>
      </c>
    </row>
    <row r="15" spans="1:9" ht="15.75" customHeight="1" x14ac:dyDescent="0.15">
      <c r="D15" s="2" t="s">
        <v>180</v>
      </c>
    </row>
    <row r="16" spans="1:9" ht="15.75" customHeight="1" x14ac:dyDescent="0.15">
      <c r="B16" s="2">
        <v>6708.1</v>
      </c>
      <c r="C16" s="2">
        <f>10^D16</f>
        <v>251188.64315095844</v>
      </c>
      <c r="D16" s="2">
        <v>5.4</v>
      </c>
    </row>
    <row r="17" spans="1:4" ht="15.75" customHeight="1" x14ac:dyDescent="0.15">
      <c r="B17" s="2">
        <f>B16/C16</f>
        <v>2.6705427107899107E-2</v>
      </c>
      <c r="C17" s="2">
        <f>B17*10*20</f>
        <v>5.3410854215798214</v>
      </c>
    </row>
    <row r="21" spans="1:4" ht="15.75" customHeight="1" x14ac:dyDescent="0.15">
      <c r="A21" s="2" t="s">
        <v>177</v>
      </c>
    </row>
    <row r="22" spans="1:4" ht="15.75" customHeight="1" x14ac:dyDescent="0.15">
      <c r="B22" s="2" t="s">
        <v>179</v>
      </c>
      <c r="D22" s="2" t="s">
        <v>180</v>
      </c>
    </row>
    <row r="23" spans="1:4" ht="15.75" customHeight="1" x14ac:dyDescent="0.15">
      <c r="A23" s="2" t="s">
        <v>181</v>
      </c>
      <c r="B23" s="2">
        <v>3579.2</v>
      </c>
      <c r="C23" s="2">
        <f>B23*4*10/B24</f>
        <v>44740</v>
      </c>
      <c r="D23" s="2">
        <f>LOG(C23)</f>
        <v>4.6506959797606111</v>
      </c>
    </row>
    <row r="24" spans="1:4" ht="15.75" customHeight="1" x14ac:dyDescent="0.15">
      <c r="A24" s="2" t="s">
        <v>182</v>
      </c>
      <c r="B24" s="2">
        <v>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Mike+Steve_Bioavail</vt:lpstr>
      <vt:lpstr>CBGa_bioavaliability</vt:lpstr>
      <vt:lpstr>THCa_BA</vt:lpstr>
      <vt:lpstr>THC_BA</vt:lpstr>
      <vt:lpstr>200mg_CBD_PVP_5_5_FaSSIF</vt:lpstr>
      <vt:lpstr>100mg_CBD_FaSSIF</vt:lpstr>
      <vt:lpstr>70mg_CBD_PVP_1_1_USP38buffer</vt:lpstr>
      <vt:lpstr>100mg_CBD_USP38buffer</vt:lpstr>
      <vt:lpstr>CBD_100.0mg_basket_SGFdegassed_</vt:lpstr>
      <vt:lpstr>CBD_96.2mg_SGFdegassed_PVDFfilt</vt:lpstr>
      <vt:lpstr>5_5_PVP_CBD_199.8mg_basket_SGFd</vt:lpstr>
      <vt:lpstr>5_5_CBD_PVP_194mg_powder</vt:lpstr>
      <vt:lpstr>CBD_92.2mg_powder</vt:lpstr>
      <vt:lpstr>Buffer Notes</vt:lpstr>
      <vt:lpstr>Pow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Jeff Yarger</cp:lastModifiedBy>
  <dcterms:created xsi:type="dcterms:W3CDTF">2025-07-08T19:38:33Z</dcterms:created>
  <dcterms:modified xsi:type="dcterms:W3CDTF">2025-07-08T19:38:33Z</dcterms:modified>
</cp:coreProperties>
</file>